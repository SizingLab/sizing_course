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mbudinge\Documents\GitHub\sizing_course\classes\Lecture4_new\assets\excel\"/>
    </mc:Choice>
  </mc:AlternateContent>
  <xr:revisionPtr revIDLastSave="0" documentId="8_{93587D73-47E8-4098-9A12-9B33A677A5C3}" xr6:coauthVersionLast="36" xr6:coauthVersionMax="36" xr10:uidLastSave="{00000000-0000-0000-0000-000000000000}"/>
  <bookViews>
    <workbookView xWindow="0" yWindow="0" windowWidth="23040" windowHeight="9405" xr2:uid="{00000000-000D-0000-FFFF-FFFF00000000}"/>
    <workbookView visibility="hidden" xWindow="0" yWindow="0" windowWidth="23040" windowHeight="9375" xr2:uid="{00000000-000D-0000-FFFF-FFFF01000000}"/>
  </bookViews>
  <sheets>
    <sheet name="Sizing" sheetId="1" r:id="rId1"/>
  </sheets>
  <definedNames>
    <definedName name="_xlnm._FilterDatabase" localSheetId="0" hidden="1">Sizing!$A$18:$H$24</definedName>
    <definedName name="Amax">Sizing!$G$10</definedName>
    <definedName name="Fstatic">Sizing!$G$5</definedName>
    <definedName name="Jmot">Sizing!$E$23</definedName>
    <definedName name="Jref">Sizing!$G$23</definedName>
    <definedName name="kmot">Sizing!$E$15</definedName>
    <definedName name="Mload">Sizing!$G$8</definedName>
    <definedName name="Mref">Sizing!$G$24</definedName>
    <definedName name="N">Sizing!$E$14</definedName>
    <definedName name="pitch">Sizing!$G$12</definedName>
    <definedName name="solver_adj" localSheetId="0" hidden="1">Sizing!$E$14:$E$15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0" localSheetId="0" hidden="1">Sizing!$D$29:$D$30</definedName>
    <definedName name="solver_lhs1" localSheetId="0" hidden="1">Sizing!$D$29:$D$30</definedName>
    <definedName name="solver_lhs2" localSheetId="0" hidden="1">Sizing!$E$14:$E$15</definedName>
    <definedName name="solver_lhs3" localSheetId="0" hidden="1">Sizing!$E$14:$E$15</definedName>
    <definedName name="solver_lhs4" localSheetId="0" hidden="1">Sizing!$E$14:$E$15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1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Sizing!$D$31</definedName>
    <definedName name="solver_pre" localSheetId="0" hidden="1">0.000001</definedName>
    <definedName name="solver_rbv" localSheetId="0" hidden="1">2</definedName>
    <definedName name="solver_rel0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hs0" localSheetId="0" hidden="1">Sizing!$F$29:$F$30</definedName>
    <definedName name="solver_rhs1" localSheetId="0" hidden="1">Sizing!$F$29:$F$30</definedName>
    <definedName name="solver_rhs2" localSheetId="0" hidden="1">Sizing!$J$14:$J$15</definedName>
    <definedName name="solver_rhs3" localSheetId="0" hidden="1">Sizing!$I$14:$I$15</definedName>
    <definedName name="solver_rhs4" localSheetId="0" hidden="1">Sizing!$I$14:$I$15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max_mot">Sizing!$E$20</definedName>
    <definedName name="Tmax_ref">Sizing!$G$20</definedName>
    <definedName name="Vmax">Sizing!$G$9</definedName>
    <definedName name="Wmax_ref">Sizing!$G$22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E12" i="1"/>
  <c r="G12" i="1" s="1"/>
  <c r="G5" i="1"/>
  <c r="G8" i="1"/>
  <c r="G7" i="1"/>
  <c r="G6" i="1"/>
  <c r="G9" i="1" l="1"/>
  <c r="E9" i="1" l="1"/>
  <c r="E21" i="1"/>
  <c r="D29" i="1" s="1"/>
  <c r="G10" i="1"/>
  <c r="E10" i="1" l="1"/>
  <c r="E20" i="1"/>
  <c r="F30" i="1" s="1"/>
  <c r="E24" i="1" l="1"/>
  <c r="D31" i="1" s="1"/>
  <c r="E22" i="1"/>
  <c r="E23" i="1"/>
  <c r="G15" i="1"/>
  <c r="G14" i="1"/>
  <c r="E25" i="1" l="1"/>
  <c r="D30" i="1" s="1"/>
  <c r="F29" i="1"/>
</calcChain>
</file>

<file path=xl/sharedStrings.xml><?xml version="1.0" encoding="utf-8"?>
<sst xmlns="http://schemas.openxmlformats.org/spreadsheetml/2006/main" count="116" uniqueCount="77">
  <si>
    <t>Sizing Procedure</t>
  </si>
  <si>
    <t>Type</t>
  </si>
  <si>
    <t>Requirement</t>
  </si>
  <si>
    <t>Name</t>
  </si>
  <si>
    <t>Symbol</t>
  </si>
  <si>
    <t>Description</t>
  </si>
  <si>
    <t>Value</t>
  </si>
  <si>
    <t>Unit</t>
  </si>
  <si>
    <t>Min</t>
  </si>
  <si>
    <t>Max</t>
  </si>
  <si>
    <t>Scenario</t>
  </si>
  <si>
    <t>Estimation</t>
  </si>
  <si>
    <t>Equation</t>
  </si>
  <si>
    <t>Composant</t>
  </si>
  <si>
    <t>Brushless motor</t>
  </si>
  <si>
    <t>Optimization</t>
  </si>
  <si>
    <t>Constraint</t>
  </si>
  <si>
    <t>Objective</t>
  </si>
  <si>
    <t>Operator</t>
  </si>
  <si>
    <t>Limit</t>
  </si>
  <si>
    <t>[N.m]</t>
  </si>
  <si>
    <t>Maximum speed</t>
  </si>
  <si>
    <t>SI Value</t>
  </si>
  <si>
    <t>SI Unit</t>
  </si>
  <si>
    <t>[rad/s]</t>
  </si>
  <si>
    <t>T_motor</t>
  </si>
  <si>
    <t>Design variable</t>
  </si>
  <si>
    <t>[-]</t>
  </si>
  <si>
    <t>W_max_motor</t>
  </si>
  <si>
    <t>Reference</t>
  </si>
  <si>
    <t>Motor speed</t>
  </si>
  <si>
    <t>&lt;=</t>
  </si>
  <si>
    <t>[rpm]</t>
  </si>
  <si>
    <t>Motor Inertia</t>
  </si>
  <si>
    <t>J_mot_est</t>
  </si>
  <si>
    <t>[kg.m^2]</t>
  </si>
  <si>
    <t>[m]</t>
  </si>
  <si>
    <t>Total mass</t>
  </si>
  <si>
    <t>Mass</t>
  </si>
  <si>
    <t>[kg]</t>
  </si>
  <si>
    <t>[mm]</t>
  </si>
  <si>
    <t>M_mot</t>
  </si>
  <si>
    <t>[Hz]</t>
  </si>
  <si>
    <t>[N]</t>
  </si>
  <si>
    <t>Motor mass</t>
  </si>
  <si>
    <t>to minimize</t>
  </si>
  <si>
    <t>Static force</t>
  </si>
  <si>
    <t>F_static</t>
  </si>
  <si>
    <t>Magnitude</t>
  </si>
  <si>
    <t>Frequency</t>
  </si>
  <si>
    <t>X</t>
  </si>
  <si>
    <t>f</t>
  </si>
  <si>
    <t>[kN]</t>
  </si>
  <si>
    <t>Max speed</t>
  </si>
  <si>
    <t>V max</t>
  </si>
  <si>
    <t>A max</t>
  </si>
  <si>
    <t>[m/s]</t>
  </si>
  <si>
    <t>[m/s²]</t>
  </si>
  <si>
    <t>[mm/s]</t>
  </si>
  <si>
    <t>[g]</t>
  </si>
  <si>
    <t>Design assumption</t>
  </si>
  <si>
    <t>Pitch</t>
  </si>
  <si>
    <t>[mm/rev]</t>
  </si>
  <si>
    <t>[m/rad]</t>
  </si>
  <si>
    <t xml:space="preserve">Reduction ratio </t>
  </si>
  <si>
    <t>Over sizing motor</t>
  </si>
  <si>
    <t xml:space="preserve">N </t>
  </si>
  <si>
    <t>kmot</t>
  </si>
  <si>
    <t>M load</t>
  </si>
  <si>
    <t>pitch</t>
  </si>
  <si>
    <t>Max torque, selection</t>
  </si>
  <si>
    <t>Motor torque</t>
  </si>
  <si>
    <t>TVC EMA Actuator</t>
  </si>
  <si>
    <t>Max acceleration</t>
  </si>
  <si>
    <t>Inputs</t>
  </si>
  <si>
    <t>/!\ Acceleration requirement can be too high !</t>
  </si>
  <si>
    <t>/!\ Depending of inertia, no solution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</si>
</sst>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" fontId="0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Font="1"/>
    <xf numFmtId="0" fontId="0" fillId="0" borderId="0" xfId="0" quotePrefix="1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="130" zoomScaleNormal="130" workbookViewId="0">
      <selection activeCell="J27" sqref="J27"/>
    </sheetView>
    <sheetView tabSelected="1" workbookViewId="1"/>
  </sheetViews>
  <sheetFormatPr baseColWidth="10" defaultRowHeight="15" x14ac:dyDescent="0.25"/>
  <cols>
    <col min="1" max="1" width="14.5703125" customWidth="1"/>
    <col min="2" max="2" width="12.42578125" customWidth="1"/>
    <col min="3" max="3" width="24.7109375" customWidth="1"/>
    <col min="4" max="4" width="12.5703125" customWidth="1"/>
    <col min="5" max="5" width="13.5703125" bestFit="1" customWidth="1"/>
  </cols>
  <sheetData>
    <row r="1" spans="1:18" x14ac:dyDescent="0.25">
      <c r="A1" s="1" t="s">
        <v>72</v>
      </c>
    </row>
    <row r="3" spans="1:18" x14ac:dyDescent="0.25">
      <c r="A3" s="1" t="s">
        <v>74</v>
      </c>
    </row>
    <row r="4" spans="1:18" x14ac:dyDescent="0.25">
      <c r="B4" s="3" t="s">
        <v>1</v>
      </c>
      <c r="C4" s="3" t="s">
        <v>3</v>
      </c>
      <c r="D4" s="3" t="s">
        <v>4</v>
      </c>
      <c r="E4" s="3" t="s">
        <v>6</v>
      </c>
      <c r="F4" s="3" t="s">
        <v>7</v>
      </c>
      <c r="G4" s="3" t="s">
        <v>22</v>
      </c>
      <c r="H4" s="3" t="s">
        <v>23</v>
      </c>
      <c r="I4" s="3" t="s">
        <v>8</v>
      </c>
      <c r="J4" s="3" t="s">
        <v>9</v>
      </c>
    </row>
    <row r="5" spans="1:18" x14ac:dyDescent="0.25">
      <c r="B5" s="2" t="s">
        <v>2</v>
      </c>
      <c r="C5" s="4" t="s">
        <v>46</v>
      </c>
      <c r="D5" s="4" t="s">
        <v>47</v>
      </c>
      <c r="E5" s="16">
        <v>40</v>
      </c>
      <c r="F5" s="14" t="s">
        <v>52</v>
      </c>
      <c r="G5" s="4">
        <f>E5*1000</f>
        <v>40000</v>
      </c>
      <c r="H5" s="14" t="s">
        <v>43</v>
      </c>
      <c r="I5" s="4"/>
      <c r="J5" s="4"/>
    </row>
    <row r="6" spans="1:18" x14ac:dyDescent="0.25">
      <c r="B6" s="2" t="s">
        <v>2</v>
      </c>
      <c r="C6" s="2" t="s">
        <v>48</v>
      </c>
      <c r="D6" s="4" t="s">
        <v>50</v>
      </c>
      <c r="E6" s="16">
        <v>10</v>
      </c>
      <c r="F6" s="2" t="s">
        <v>40</v>
      </c>
      <c r="G6" s="2">
        <f>E6*0.001</f>
        <v>0.01</v>
      </c>
      <c r="H6" s="2" t="s">
        <v>36</v>
      </c>
      <c r="I6" s="10"/>
      <c r="J6" s="4"/>
    </row>
    <row r="7" spans="1:18" x14ac:dyDescent="0.25">
      <c r="B7" s="2" t="s">
        <v>2</v>
      </c>
      <c r="C7" s="2" t="s">
        <v>49</v>
      </c>
      <c r="D7" s="4" t="s">
        <v>51</v>
      </c>
      <c r="E7" s="16">
        <v>5</v>
      </c>
      <c r="F7" s="2" t="s">
        <v>42</v>
      </c>
      <c r="G7" s="2">
        <f>2*3.14*E7</f>
        <v>31.400000000000002</v>
      </c>
      <c r="H7" s="2" t="s">
        <v>24</v>
      </c>
      <c r="I7" s="4"/>
      <c r="J7" s="4"/>
      <c r="K7" t="s">
        <v>75</v>
      </c>
    </row>
    <row r="8" spans="1:18" x14ac:dyDescent="0.25">
      <c r="B8" s="2" t="s">
        <v>2</v>
      </c>
      <c r="C8" s="2" t="s">
        <v>38</v>
      </c>
      <c r="D8" s="2" t="s">
        <v>68</v>
      </c>
      <c r="E8" s="16">
        <v>800</v>
      </c>
      <c r="F8" s="2" t="s">
        <v>39</v>
      </c>
      <c r="G8" s="2">
        <f>E8</f>
        <v>800</v>
      </c>
      <c r="H8" s="2" t="s">
        <v>39</v>
      </c>
      <c r="I8" s="2"/>
      <c r="J8" s="2"/>
    </row>
    <row r="9" spans="1:18" x14ac:dyDescent="0.25">
      <c r="B9" s="2" t="s">
        <v>2</v>
      </c>
      <c r="C9" s="2" t="s">
        <v>53</v>
      </c>
      <c r="D9" s="2" t="s">
        <v>54</v>
      </c>
      <c r="E9" s="2">
        <f>G9*1000</f>
        <v>314</v>
      </c>
      <c r="F9" s="2" t="s">
        <v>58</v>
      </c>
      <c r="G9" s="2">
        <f>G6*G7</f>
        <v>0.314</v>
      </c>
      <c r="H9" s="2" t="s">
        <v>56</v>
      </c>
      <c r="I9" s="2"/>
      <c r="J9" s="2"/>
    </row>
    <row r="10" spans="1:18" x14ac:dyDescent="0.25">
      <c r="B10" s="2" t="s">
        <v>2</v>
      </c>
      <c r="C10" s="2" t="s">
        <v>73</v>
      </c>
      <c r="D10" s="2" t="s">
        <v>55</v>
      </c>
      <c r="E10" s="17">
        <f>G10/9.8</f>
        <v>1.0060816326530613</v>
      </c>
      <c r="F10" s="2" t="s">
        <v>59</v>
      </c>
      <c r="G10" s="2">
        <f>G9*G7</f>
        <v>9.8596000000000004</v>
      </c>
      <c r="H10" s="2" t="s">
        <v>57</v>
      </c>
      <c r="I10" s="2"/>
      <c r="J10" s="2"/>
    </row>
    <row r="11" spans="1:18" x14ac:dyDescent="0.25">
      <c r="B11" s="2"/>
      <c r="C11" s="2"/>
      <c r="D11" s="2"/>
      <c r="E11" s="17"/>
      <c r="F11" s="2"/>
      <c r="G11" s="2"/>
      <c r="H11" s="2"/>
      <c r="I11" s="2"/>
      <c r="J11" s="2"/>
    </row>
    <row r="12" spans="1:18" x14ac:dyDescent="0.25">
      <c r="B12" s="2" t="s">
        <v>60</v>
      </c>
      <c r="C12" s="2" t="s">
        <v>61</v>
      </c>
      <c r="D12" s="2" t="s">
        <v>69</v>
      </c>
      <c r="E12" s="16">
        <f>10</f>
        <v>10</v>
      </c>
      <c r="F12" s="2" t="s">
        <v>62</v>
      </c>
      <c r="G12" s="2">
        <f>E12*0.001/2/3.14</f>
        <v>1.592356687898089E-3</v>
      </c>
      <c r="H12" s="2" t="s">
        <v>63</v>
      </c>
      <c r="I12" s="2"/>
      <c r="J12" s="2"/>
    </row>
    <row r="14" spans="1:18" x14ac:dyDescent="0.25">
      <c r="B14" s="2" t="s">
        <v>26</v>
      </c>
      <c r="C14" s="2" t="s">
        <v>64</v>
      </c>
      <c r="D14" s="2" t="s">
        <v>66</v>
      </c>
      <c r="E14" s="15">
        <v>2.8503872325244766</v>
      </c>
      <c r="F14" s="2" t="s">
        <v>27</v>
      </c>
      <c r="G14" s="2">
        <f>E14</f>
        <v>2.8503872325244766</v>
      </c>
      <c r="H14" s="2" t="s">
        <v>27</v>
      </c>
      <c r="I14" s="2">
        <v>0.2</v>
      </c>
      <c r="J14" s="2">
        <v>5</v>
      </c>
    </row>
    <row r="15" spans="1:18" x14ac:dyDescent="0.25">
      <c r="B15" s="2" t="s">
        <v>26</v>
      </c>
      <c r="C15" s="2" t="s">
        <v>65</v>
      </c>
      <c r="D15" s="2" t="s">
        <v>67</v>
      </c>
      <c r="E15" s="15">
        <v>1.2072235867085086</v>
      </c>
      <c r="F15" s="2" t="s">
        <v>27</v>
      </c>
      <c r="G15" s="2">
        <f>E15</f>
        <v>1.2072235867085086</v>
      </c>
      <c r="H15" s="2" t="s">
        <v>27</v>
      </c>
      <c r="I15" s="2">
        <v>1</v>
      </c>
      <c r="J15" s="2">
        <v>10</v>
      </c>
    </row>
    <row r="16" spans="1:18" x14ac:dyDescent="0.25">
      <c r="O16" s="2"/>
      <c r="P16" s="2"/>
      <c r="Q16" s="2"/>
      <c r="R16" s="2"/>
    </row>
    <row r="17" spans="1:18" x14ac:dyDescent="0.25">
      <c r="A17" s="1" t="s">
        <v>0</v>
      </c>
      <c r="M17" s="1"/>
      <c r="O17" s="2"/>
      <c r="P17" s="2"/>
      <c r="Q17" s="2"/>
      <c r="R17" s="2"/>
    </row>
    <row r="18" spans="1:18" x14ac:dyDescent="0.25">
      <c r="A18" s="3" t="s">
        <v>13</v>
      </c>
      <c r="B18" s="3" t="s">
        <v>1</v>
      </c>
      <c r="C18" s="3" t="s">
        <v>3</v>
      </c>
      <c r="D18" s="3" t="s">
        <v>4</v>
      </c>
      <c r="E18" s="3" t="s">
        <v>12</v>
      </c>
      <c r="F18" s="3" t="s">
        <v>7</v>
      </c>
      <c r="G18" s="3" t="s">
        <v>29</v>
      </c>
      <c r="H18" s="3" t="s">
        <v>5</v>
      </c>
      <c r="O18" s="2"/>
      <c r="P18" s="2"/>
      <c r="Q18" s="2"/>
      <c r="R18" s="2"/>
    </row>
    <row r="19" spans="1:18" ht="13.15" customHeight="1" x14ac:dyDescent="0.25">
      <c r="A19" s="4"/>
      <c r="B19" s="4"/>
      <c r="C19" s="4"/>
      <c r="D19" s="4"/>
      <c r="E19" s="4"/>
      <c r="F19" s="4"/>
      <c r="G19" s="4"/>
      <c r="O19" s="2"/>
      <c r="P19" s="2"/>
      <c r="Q19" s="2"/>
      <c r="R19" s="2"/>
    </row>
    <row r="20" spans="1:18" ht="13.15" customHeight="1" x14ac:dyDescent="0.25">
      <c r="A20" s="4" t="s">
        <v>14</v>
      </c>
      <c r="B20" s="4" t="s">
        <v>10</v>
      </c>
      <c r="C20" s="4" t="s">
        <v>70</v>
      </c>
      <c r="D20" s="4" t="s">
        <v>25</v>
      </c>
      <c r="E20" s="5">
        <f>kmot*(Fstatic+Mload*Amax)/N*pitch</f>
        <v>32.295945365596168</v>
      </c>
      <c r="F20" s="4" t="s">
        <v>20</v>
      </c>
      <c r="G20" s="4">
        <v>13.4</v>
      </c>
      <c r="M20" s="1"/>
      <c r="O20" s="2"/>
      <c r="P20" s="2"/>
      <c r="Q20" s="2"/>
      <c r="R20" s="2"/>
    </row>
    <row r="21" spans="1:18" ht="13.15" customHeight="1" x14ac:dyDescent="0.25">
      <c r="A21" s="4" t="s">
        <v>14</v>
      </c>
      <c r="B21" s="4" t="s">
        <v>10</v>
      </c>
      <c r="C21" s="4" t="s">
        <v>21</v>
      </c>
      <c r="D21" s="4" t="s">
        <v>28</v>
      </c>
      <c r="E21" s="8">
        <f>Vmax*N/pitch</f>
        <v>562.07355915596668</v>
      </c>
      <c r="F21" s="4" t="s">
        <v>24</v>
      </c>
      <c r="G21" s="4"/>
      <c r="M21" s="12"/>
      <c r="O21" s="2"/>
      <c r="P21" s="2"/>
      <c r="Q21" s="2"/>
      <c r="R21" s="2"/>
    </row>
    <row r="22" spans="1:18" ht="13.15" customHeight="1" x14ac:dyDescent="0.25">
      <c r="A22" s="4" t="s">
        <v>14</v>
      </c>
      <c r="B22" s="4" t="s">
        <v>11</v>
      </c>
      <c r="C22" s="4" t="s">
        <v>21</v>
      </c>
      <c r="D22" s="4" t="s">
        <v>28</v>
      </c>
      <c r="E22" s="8">
        <f>Wmax_ref*(Tmax_mot/Tmax_ref)^(-1/3)</f>
        <v>5370.1295395457701</v>
      </c>
      <c r="F22" s="4" t="s">
        <v>32</v>
      </c>
      <c r="G22" s="2">
        <v>7200</v>
      </c>
      <c r="M22" s="13"/>
      <c r="O22" s="2"/>
      <c r="P22" s="2"/>
      <c r="Q22" s="2"/>
      <c r="R22" s="2"/>
    </row>
    <row r="23" spans="1:18" ht="13.15" customHeight="1" x14ac:dyDescent="0.25">
      <c r="A23" s="2" t="s">
        <v>14</v>
      </c>
      <c r="B23" s="2" t="s">
        <v>11</v>
      </c>
      <c r="C23" s="2" t="s">
        <v>33</v>
      </c>
      <c r="D23" s="2" t="s">
        <v>34</v>
      </c>
      <c r="E23" s="9">
        <f>Jref*(Tmax_mot/Tmax_ref)^(5/3)</f>
        <v>3.141063229515316E-4</v>
      </c>
      <c r="F23" s="2" t="s">
        <v>35</v>
      </c>
      <c r="G23" s="9">
        <f>0.00029/4</f>
        <v>7.25E-5</v>
      </c>
      <c r="I23" t="s">
        <v>76</v>
      </c>
      <c r="O23" s="2"/>
      <c r="P23" s="2"/>
      <c r="Q23" s="2"/>
      <c r="R23" s="2"/>
    </row>
    <row r="24" spans="1:18" ht="13.15" customHeight="1" x14ac:dyDescent="0.25">
      <c r="A24" s="2" t="s">
        <v>14</v>
      </c>
      <c r="B24" s="2" t="s">
        <v>11</v>
      </c>
      <c r="C24" s="2" t="s">
        <v>44</v>
      </c>
      <c r="D24" s="2" t="s">
        <v>41</v>
      </c>
      <c r="E24" s="11">
        <f>Mref*(Tmax_mot/Tmax_ref)</f>
        <v>9.1585516708407031</v>
      </c>
      <c r="F24" s="2" t="s">
        <v>39</v>
      </c>
      <c r="G24" s="9">
        <v>3.8</v>
      </c>
      <c r="O24" s="2"/>
      <c r="P24" s="2"/>
      <c r="Q24" s="2"/>
      <c r="R24" s="2"/>
    </row>
    <row r="25" spans="1:18" ht="13.15" customHeight="1" x14ac:dyDescent="0.25">
      <c r="A25" s="4" t="s">
        <v>14</v>
      </c>
      <c r="B25" s="4" t="s">
        <v>10</v>
      </c>
      <c r="C25" s="4" t="s">
        <v>70</v>
      </c>
      <c r="D25" s="4" t="s">
        <v>25</v>
      </c>
      <c r="E25" s="5">
        <f>(Fstatic+Mload*Amax)/N*pitch+Jmot*Amax*N/pitch</f>
        <v>32.2959454518247</v>
      </c>
      <c r="F25" s="4" t="s">
        <v>20</v>
      </c>
      <c r="G25" s="4"/>
      <c r="O25" s="2"/>
      <c r="P25" s="2"/>
      <c r="Q25" s="2"/>
      <c r="R25" s="2"/>
    </row>
    <row r="26" spans="1:18" x14ac:dyDescent="0.25">
      <c r="A26" s="2"/>
      <c r="B26" s="2"/>
      <c r="C26" s="2"/>
      <c r="D26" s="2"/>
      <c r="E26" s="2"/>
      <c r="F26" s="2"/>
      <c r="G26" s="2"/>
    </row>
    <row r="27" spans="1:18" x14ac:dyDescent="0.25">
      <c r="A27" s="6" t="s">
        <v>15</v>
      </c>
      <c r="B27" s="2"/>
      <c r="C27" s="2"/>
      <c r="D27" s="2"/>
      <c r="E27" s="2"/>
      <c r="F27" s="2"/>
      <c r="G27" s="2"/>
    </row>
    <row r="28" spans="1:18" x14ac:dyDescent="0.25">
      <c r="A28" s="2"/>
      <c r="B28" s="3" t="s">
        <v>1</v>
      </c>
      <c r="C28" s="3" t="s">
        <v>3</v>
      </c>
      <c r="D28" s="3" t="s">
        <v>6</v>
      </c>
      <c r="E28" s="3" t="s">
        <v>18</v>
      </c>
      <c r="F28" s="3" t="s">
        <v>19</v>
      </c>
      <c r="G28" s="3" t="s">
        <v>7</v>
      </c>
    </row>
    <row r="29" spans="1:18" x14ac:dyDescent="0.25">
      <c r="A29" s="2"/>
      <c r="B29" s="2" t="s">
        <v>16</v>
      </c>
      <c r="C29" s="2" t="s">
        <v>30</v>
      </c>
      <c r="D29" s="17">
        <f>E21*60/2/3.14</f>
        <v>5370.1295460761148</v>
      </c>
      <c r="E29" s="7" t="s">
        <v>31</v>
      </c>
      <c r="F29" s="17">
        <f>E22</f>
        <v>5370.1295395457701</v>
      </c>
      <c r="G29" s="2" t="s">
        <v>32</v>
      </c>
    </row>
    <row r="30" spans="1:18" x14ac:dyDescent="0.25">
      <c r="A30" s="2"/>
      <c r="B30" s="2" t="s">
        <v>16</v>
      </c>
      <c r="C30" s="2" t="s">
        <v>71</v>
      </c>
      <c r="D30" s="17">
        <f>E25</f>
        <v>32.2959454518247</v>
      </c>
      <c r="E30" s="7" t="s">
        <v>31</v>
      </c>
      <c r="F30" s="17">
        <f>Tmax_mot</f>
        <v>32.295945365596168</v>
      </c>
      <c r="G30" s="2" t="s">
        <v>20</v>
      </c>
    </row>
    <row r="31" spans="1:18" x14ac:dyDescent="0.25">
      <c r="A31" s="2"/>
      <c r="B31" s="2" t="s">
        <v>17</v>
      </c>
      <c r="C31" s="2" t="s">
        <v>37</v>
      </c>
      <c r="D31" s="11">
        <f>E24</f>
        <v>9.1585516708407031</v>
      </c>
      <c r="E31" s="2"/>
      <c r="F31" s="2"/>
      <c r="G31" s="2" t="s">
        <v>39</v>
      </c>
      <c r="H31" t="s">
        <v>45</v>
      </c>
    </row>
  </sheetData>
  <autoFilter ref="A18:H24" xr:uid="{00000000-0009-0000-0000-000000000000}"/>
  <conditionalFormatting sqref="D29">
    <cfRule type="cellIs" dxfId="1" priority="11" operator="greaterThan">
      <formula>$F$29</formula>
    </cfRule>
  </conditionalFormatting>
  <conditionalFormatting sqref="D30">
    <cfRule type="cellIs" dxfId="0" priority="1" operator="greaterThan">
      <formula>$F$30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13</vt:i4>
      </vt:variant>
    </vt:vector>
  </HeadingPairs>
  <TitlesOfParts>
    <vt:vector size="14" baseType="lpstr">
      <vt:lpstr>Sizing</vt:lpstr>
      <vt:lpstr>Amax</vt:lpstr>
      <vt:lpstr>Fstatic</vt:lpstr>
      <vt:lpstr>Jmot</vt:lpstr>
      <vt:lpstr>Jref</vt:lpstr>
      <vt:lpstr>kmot</vt:lpstr>
      <vt:lpstr>Mload</vt:lpstr>
      <vt:lpstr>Mref</vt:lpstr>
      <vt:lpstr>N</vt:lpstr>
      <vt:lpstr>pitch</vt:lpstr>
      <vt:lpstr>Tmax_mot</vt:lpstr>
      <vt:lpstr>Tmax_ref</vt:lpstr>
      <vt:lpstr>Vmax</vt:lpstr>
      <vt:lpstr>Wmax_ref</vt:lpstr>
    </vt:vector>
  </TitlesOfParts>
  <Company>INSA de Toulouse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Budinger</dc:creator>
  <cp:lastModifiedBy>Marc Budinger</cp:lastModifiedBy>
  <dcterms:created xsi:type="dcterms:W3CDTF">2016-03-04T21:00:57Z</dcterms:created>
  <dcterms:modified xsi:type="dcterms:W3CDTF">2025-02-19T09:06:34Z</dcterms:modified>
</cp:coreProperties>
</file>