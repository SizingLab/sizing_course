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budinge\Documents\GitHub\sizing_course\laboratories\Lab-vega\assets\data\"/>
    </mc:Choice>
  </mc:AlternateContent>
  <xr:revisionPtr revIDLastSave="0" documentId="13_ncr:1_{3CE20370-954E-450E-9C03-98DBB03AF3AF}" xr6:coauthVersionLast="36" xr6:coauthVersionMax="36" xr10:uidLastSave="{00000000-0000-0000-0000-000000000000}"/>
  <bookViews>
    <workbookView xWindow="0" yWindow="0" windowWidth="28800" windowHeight="10965" xr2:uid="{892E3482-6B49-4212-9C63-DD73F13D9355}"/>
  </bookViews>
  <sheets>
    <sheet name="ParvexMotor" sheetId="1" r:id="rId1"/>
    <sheet name="Correc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2" i="2" l="1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K27" i="2"/>
  <c r="N26" i="2"/>
  <c r="K26" i="2"/>
  <c r="N25" i="2"/>
  <c r="K25" i="2"/>
  <c r="N24" i="2"/>
  <c r="K24" i="2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K5" i="1"/>
  <c r="N4" i="1"/>
  <c r="K4" i="1"/>
  <c r="N3" i="1"/>
  <c r="K3" i="1"/>
  <c r="N2" i="1"/>
  <c r="K2" i="1"/>
</calcChain>
</file>

<file path=xl/sharedStrings.xml><?xml version="1.0" encoding="utf-8"?>
<sst xmlns="http://schemas.openxmlformats.org/spreadsheetml/2006/main" count="76" uniqueCount="38">
  <si>
    <t>Couple en rotation lente Mo Nm</t>
  </si>
  <si>
    <t>Courant permanent en rotation lente Io Arms</t>
  </si>
  <si>
    <t>Couple pic Mp Nm</t>
  </si>
  <si>
    <t>Courant pour obtenir le couple pic Ip Arms</t>
  </si>
  <si>
    <t>FEM par 1000 t/min (25°C)* Ke Vrms</t>
  </si>
  <si>
    <t>Coefficient de couple électromagnétique Kt Nm/Arms</t>
  </si>
  <si>
    <t>Résistance du bobinage (25°C)* Rb W</t>
  </si>
  <si>
    <t>Inductance du bobinage* L mH</t>
  </si>
  <si>
    <t>Inertie du rotor J kgm²</t>
  </si>
  <si>
    <t>Constante de temps thermique Tth min</t>
  </si>
  <si>
    <t>Diamètre
d mm</t>
  </si>
  <si>
    <t>Longueur
l mm</t>
  </si>
  <si>
    <t>l/d</t>
  </si>
  <si>
    <t>Masse du moteur M kg</t>
  </si>
  <si>
    <t>Tension du réseau d'alimentation UR1 UR2 UR3 Vrms</t>
  </si>
  <si>
    <t>Vitesse nominale Nn1 Nn2 Nn3 t/min</t>
  </si>
  <si>
    <t>Couple nominal Mn1 Mn2 Mn3 Nm</t>
  </si>
  <si>
    <t>Courant nominal In1 In2 In3 Arms</t>
  </si>
  <si>
    <t>Puissance nominale Pn1 Pn2 Pn3 W</t>
  </si>
  <si>
    <t>NX205EAV</t>
  </si>
  <si>
    <t>NX205EAS</t>
  </si>
  <si>
    <t>NX210EAT</t>
  </si>
  <si>
    <t>NX210EAP</t>
  </si>
  <si>
    <t>NX310EAP</t>
  </si>
  <si>
    <t>NX310EAK</t>
  </si>
  <si>
    <t>NX420EAP</t>
  </si>
  <si>
    <t>NX420EAJ</t>
  </si>
  <si>
    <t>NX430EAJ</t>
  </si>
  <si>
    <t>NX430EAF</t>
  </si>
  <si>
    <t>NX620EAR</t>
  </si>
  <si>
    <t>NX620EAJ</t>
  </si>
  <si>
    <t>NX630EAR</t>
  </si>
  <si>
    <t>NX630EAK</t>
  </si>
  <si>
    <t>NX630EAG</t>
  </si>
  <si>
    <t>NX820EAL</t>
  </si>
  <si>
    <t>NX840EAJ</t>
  </si>
  <si>
    <t>NX860EAD</t>
  </si>
  <si>
    <t>NX860VAG*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</si>
</sst>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Correction!$O$23</c:f>
              <c:strCache>
                <c:ptCount val="1"/>
                <c:pt idx="0">
                  <c:v>Masse du moteur M kg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Correction!$B$24:$B$41</c:f>
              <c:numCache>
                <c:formatCode>General</c:formatCode>
                <c:ptCount val="18"/>
                <c:pt idx="0">
                  <c:v>0.45</c:v>
                </c:pt>
                <c:pt idx="1">
                  <c:v>0.45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5.5</c:v>
                </c:pt>
                <c:pt idx="9">
                  <c:v>5.5</c:v>
                </c:pt>
                <c:pt idx="10">
                  <c:v>8</c:v>
                </c:pt>
                <c:pt idx="11">
                  <c:v>8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16</c:v>
                </c:pt>
                <c:pt idx="16">
                  <c:v>28</c:v>
                </c:pt>
                <c:pt idx="17">
                  <c:v>41</c:v>
                </c:pt>
              </c:numCache>
            </c:numRef>
          </c:xVal>
          <c:yVal>
            <c:numRef>
              <c:f>Correction!$O$24:$O$41</c:f>
              <c:numCache>
                <c:formatCode>General</c:formatCode>
                <c:ptCount val="18"/>
                <c:pt idx="0">
                  <c:v>0.77</c:v>
                </c:pt>
                <c:pt idx="1">
                  <c:v>0.77</c:v>
                </c:pt>
                <c:pt idx="2">
                  <c:v>1.3</c:v>
                </c:pt>
                <c:pt idx="3">
                  <c:v>1.3</c:v>
                </c:pt>
                <c:pt idx="4">
                  <c:v>2.1</c:v>
                </c:pt>
                <c:pt idx="5">
                  <c:v>2.1</c:v>
                </c:pt>
                <c:pt idx="6">
                  <c:v>3.8</c:v>
                </c:pt>
                <c:pt idx="7">
                  <c:v>3.8</c:v>
                </c:pt>
                <c:pt idx="8">
                  <c:v>4.8</c:v>
                </c:pt>
                <c:pt idx="9">
                  <c:v>4.8</c:v>
                </c:pt>
                <c:pt idx="10">
                  <c:v>7</c:v>
                </c:pt>
                <c:pt idx="11">
                  <c:v>7</c:v>
                </c:pt>
                <c:pt idx="12">
                  <c:v>8.9</c:v>
                </c:pt>
                <c:pt idx="13">
                  <c:v>8.9</c:v>
                </c:pt>
                <c:pt idx="14">
                  <c:v>8.9</c:v>
                </c:pt>
                <c:pt idx="15">
                  <c:v>13</c:v>
                </c:pt>
                <c:pt idx="16">
                  <c:v>20</c:v>
                </c:pt>
                <c:pt idx="17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0A-41B0-B211-BE6CE3B42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334368"/>
        <c:axId val="366912880"/>
      </c:scatterChart>
      <c:valAx>
        <c:axId val="38033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Couple moteur (N.m)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6912880"/>
        <c:crosses val="autoZero"/>
        <c:crossBetween val="midCat"/>
      </c:valAx>
      <c:valAx>
        <c:axId val="36691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Masse Moteur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0334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Correction!$J$23</c:f>
              <c:strCache>
                <c:ptCount val="1"/>
                <c:pt idx="0">
                  <c:v>Inertie du rotor J kgm²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Correction!$B$24:$B$41</c:f>
              <c:numCache>
                <c:formatCode>General</c:formatCode>
                <c:ptCount val="18"/>
                <c:pt idx="0">
                  <c:v>0.45</c:v>
                </c:pt>
                <c:pt idx="1">
                  <c:v>0.45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5.5</c:v>
                </c:pt>
                <c:pt idx="9">
                  <c:v>5.5</c:v>
                </c:pt>
                <c:pt idx="10">
                  <c:v>8</c:v>
                </c:pt>
                <c:pt idx="11">
                  <c:v>8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16</c:v>
                </c:pt>
                <c:pt idx="16">
                  <c:v>28</c:v>
                </c:pt>
                <c:pt idx="17">
                  <c:v>41</c:v>
                </c:pt>
              </c:numCache>
            </c:numRef>
          </c:xVal>
          <c:yVal>
            <c:numRef>
              <c:f>Correction!$J$24:$J$41</c:f>
              <c:numCache>
                <c:formatCode>General</c:formatCode>
                <c:ptCount val="18"/>
                <c:pt idx="0">
                  <c:v>2.1000000000000002E-5</c:v>
                </c:pt>
                <c:pt idx="1">
                  <c:v>2.1000000000000002E-5</c:v>
                </c:pt>
                <c:pt idx="2">
                  <c:v>3.8000000000000002E-5</c:v>
                </c:pt>
                <c:pt idx="3">
                  <c:v>3.8000000000000002E-5</c:v>
                </c:pt>
                <c:pt idx="4">
                  <c:v>7.9000000000000009E-5</c:v>
                </c:pt>
                <c:pt idx="5">
                  <c:v>7.9000000000000009E-5</c:v>
                </c:pt>
                <c:pt idx="6">
                  <c:v>2.9E-4</c:v>
                </c:pt>
                <c:pt idx="7">
                  <c:v>2.9E-4</c:v>
                </c:pt>
                <c:pt idx="8">
                  <c:v>4.2600000000000005E-4</c:v>
                </c:pt>
                <c:pt idx="9">
                  <c:v>4.2600000000000005E-4</c:v>
                </c:pt>
                <c:pt idx="10">
                  <c:v>9.8000000000000019E-4</c:v>
                </c:pt>
                <c:pt idx="11">
                  <c:v>9.8000000000000019E-4</c:v>
                </c:pt>
                <c:pt idx="12">
                  <c:v>1.4700000000000002E-3</c:v>
                </c:pt>
                <c:pt idx="13">
                  <c:v>1.4700000000000002E-3</c:v>
                </c:pt>
                <c:pt idx="14">
                  <c:v>1.4700000000000002E-3</c:v>
                </c:pt>
                <c:pt idx="15">
                  <c:v>3.2000000000000002E-3</c:v>
                </c:pt>
                <c:pt idx="16">
                  <c:v>6.2000000000000006E-3</c:v>
                </c:pt>
                <c:pt idx="17">
                  <c:v>9.2000000000000016E-3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9C-4D99-9937-EADF96AD1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334368"/>
        <c:axId val="366912880"/>
      </c:scatterChart>
      <c:valAx>
        <c:axId val="38033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Couple moteur (N.m)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6912880"/>
        <c:crosses val="autoZero"/>
        <c:crossBetween val="midCat"/>
      </c:valAx>
      <c:valAx>
        <c:axId val="36691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Inertie</a:t>
                </a:r>
                <a:r>
                  <a:rPr lang="fr-FR" baseline="0"/>
                  <a:t>  rotor </a:t>
                </a:r>
                <a:r>
                  <a:rPr lang="fr-FR"/>
                  <a:t> (kg.m²)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0334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0</xdr:row>
      <xdr:rowOff>49531</xdr:rowOff>
    </xdr:from>
    <xdr:to>
      <xdr:col>9</xdr:col>
      <xdr:colOff>350520</xdr:colOff>
      <xdr:row>21</xdr:row>
      <xdr:rowOff>68581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BFE7E16-3675-48AC-8DBC-5F45FCEE7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609600</xdr:colOff>
      <xdr:row>0</xdr:row>
      <xdr:rowOff>60960</xdr:rowOff>
    </xdr:from>
    <xdr:to>
      <xdr:col>18</xdr:col>
      <xdr:colOff>685800</xdr:colOff>
      <xdr:row>21</xdr:row>
      <xdr:rowOff>87630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3F87C5B-19FB-4FB1-A8F3-E9D6A2F90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96F17-C9DF-4A08-8124-49BF710E1BEA}">
  <dimension ref="A1:T20"/>
  <sheetViews>
    <sheetView tabSelected="1" topLeftCell="D1" workbookViewId="0">
      <selection activeCell="J22" sqref="J22"/>
    </sheetView>
  </sheetViews>
  <sheetFormatPr baseColWidth="10" defaultRowHeight="15" x14ac:dyDescent="0.25"/>
  <sheetData>
    <row r="1" spans="1:20" ht="90" x14ac:dyDescent="0.25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 s="3" t="s">
        <v>19</v>
      </c>
      <c r="B2" s="4">
        <v>0.45</v>
      </c>
      <c r="C2" s="4">
        <v>0.96799999999999997</v>
      </c>
      <c r="D2" s="4">
        <v>2</v>
      </c>
      <c r="E2" s="4">
        <v>5.08</v>
      </c>
      <c r="F2" s="4">
        <v>30.2</v>
      </c>
      <c r="G2" s="4">
        <v>0.46500000000000002</v>
      </c>
      <c r="H2" s="4">
        <v>17.600000000000001</v>
      </c>
      <c r="I2" s="4">
        <v>46.4</v>
      </c>
      <c r="J2" s="4">
        <v>2.1000000000000002E-5</v>
      </c>
      <c r="K2" s="5">
        <f>8.5</f>
        <v>8.5</v>
      </c>
      <c r="L2" s="5">
        <v>56.5</v>
      </c>
      <c r="M2" s="5">
        <v>100</v>
      </c>
      <c r="N2" s="5">
        <f>M2/L2</f>
        <v>1.7699115044247788</v>
      </c>
      <c r="O2" s="4">
        <v>0.77</v>
      </c>
      <c r="P2" s="4">
        <v>400</v>
      </c>
      <c r="Q2" s="4">
        <v>7500</v>
      </c>
      <c r="R2" s="4">
        <v>0.28999999999999998</v>
      </c>
      <c r="S2" s="4">
        <v>0.68</v>
      </c>
      <c r="T2" s="4">
        <v>230</v>
      </c>
    </row>
    <row r="3" spans="1:20" x14ac:dyDescent="0.25">
      <c r="A3" s="3" t="s">
        <v>20</v>
      </c>
      <c r="B3" s="4">
        <v>0.45</v>
      </c>
      <c r="C3" s="4">
        <v>1.34</v>
      </c>
      <c r="D3" s="4">
        <v>2</v>
      </c>
      <c r="E3" s="4">
        <v>7.01</v>
      </c>
      <c r="F3" s="4">
        <v>21.9</v>
      </c>
      <c r="G3" s="4">
        <v>0.33700000000000002</v>
      </c>
      <c r="H3" s="4">
        <v>8.89</v>
      </c>
      <c r="I3" s="4">
        <v>24.3</v>
      </c>
      <c r="J3" s="4">
        <v>2.1000000000000002E-5</v>
      </c>
      <c r="K3" s="5">
        <f>8.5</f>
        <v>8.5</v>
      </c>
      <c r="L3" s="5">
        <v>56.5</v>
      </c>
      <c r="M3" s="5">
        <v>100</v>
      </c>
      <c r="N3" s="5">
        <f t="shared" ref="N3:N20" si="0">M3/L3</f>
        <v>1.7699115044247788</v>
      </c>
      <c r="O3" s="4">
        <v>0.77</v>
      </c>
      <c r="P3" s="4">
        <v>400</v>
      </c>
      <c r="Q3" s="4">
        <v>8900</v>
      </c>
      <c r="R3" s="4">
        <v>0.23</v>
      </c>
      <c r="S3" s="4">
        <v>0.79</v>
      </c>
      <c r="T3" s="4">
        <v>210</v>
      </c>
    </row>
    <row r="4" spans="1:20" x14ac:dyDescent="0.25">
      <c r="A4" s="3" t="s">
        <v>21</v>
      </c>
      <c r="B4" s="4">
        <v>1</v>
      </c>
      <c r="C4" s="4">
        <v>1.33</v>
      </c>
      <c r="D4" s="4">
        <v>3.4</v>
      </c>
      <c r="E4" s="4">
        <v>5.35</v>
      </c>
      <c r="F4" s="4">
        <v>48.6</v>
      </c>
      <c r="G4" s="4">
        <v>0.75</v>
      </c>
      <c r="H4" s="4">
        <v>16.3</v>
      </c>
      <c r="I4" s="4">
        <v>56</v>
      </c>
      <c r="J4" s="4">
        <v>3.8000000000000002E-5</v>
      </c>
      <c r="K4" s="5">
        <f>350/60</f>
        <v>5.833333333333333</v>
      </c>
      <c r="L4" s="5">
        <v>56.5</v>
      </c>
      <c r="M4" s="5">
        <v>120</v>
      </c>
      <c r="N4" s="5">
        <f t="shared" si="0"/>
        <v>2.1238938053097347</v>
      </c>
      <c r="O4" s="4">
        <v>1.3</v>
      </c>
      <c r="P4" s="4">
        <v>400</v>
      </c>
      <c r="Q4" s="4">
        <v>6000</v>
      </c>
      <c r="R4" s="4">
        <v>0.61</v>
      </c>
      <c r="S4" s="4">
        <v>0.89</v>
      </c>
      <c r="T4" s="4">
        <v>390</v>
      </c>
    </row>
    <row r="5" spans="1:20" x14ac:dyDescent="0.25">
      <c r="A5" s="3" t="s">
        <v>22</v>
      </c>
      <c r="B5" s="4">
        <v>1</v>
      </c>
      <c r="C5" s="4">
        <v>1.99</v>
      </c>
      <c r="D5" s="4">
        <v>3.4</v>
      </c>
      <c r="E5" s="4">
        <v>7.96</v>
      </c>
      <c r="F5" s="4">
        <v>32.6</v>
      </c>
      <c r="G5" s="4">
        <v>0.503</v>
      </c>
      <c r="H5" s="4">
        <v>7.74</v>
      </c>
      <c r="I5" s="4">
        <v>25.2</v>
      </c>
      <c r="J5" s="4">
        <v>3.8000000000000002E-5</v>
      </c>
      <c r="K5" s="5">
        <f>350/60</f>
        <v>5.833333333333333</v>
      </c>
      <c r="L5" s="5">
        <v>56.5</v>
      </c>
      <c r="M5" s="5">
        <v>120</v>
      </c>
      <c r="N5" s="5">
        <f t="shared" si="0"/>
        <v>2.1238938053097347</v>
      </c>
      <c r="O5" s="4">
        <v>1.3</v>
      </c>
      <c r="P5" s="4">
        <v>400</v>
      </c>
      <c r="Q5" s="4">
        <v>7000</v>
      </c>
      <c r="R5" s="4">
        <v>0.5</v>
      </c>
      <c r="S5" s="4">
        <v>1.1100000000000001</v>
      </c>
      <c r="T5" s="4">
        <v>370</v>
      </c>
    </row>
    <row r="6" spans="1:20" x14ac:dyDescent="0.25">
      <c r="A6" s="3" t="s">
        <v>23</v>
      </c>
      <c r="B6" s="4">
        <v>2</v>
      </c>
      <c r="C6" s="4">
        <v>1.39</v>
      </c>
      <c r="D6" s="4">
        <v>6.6</v>
      </c>
      <c r="E6" s="4">
        <v>5.56</v>
      </c>
      <c r="F6" s="4">
        <v>88.9</v>
      </c>
      <c r="G6" s="4">
        <v>1.44</v>
      </c>
      <c r="H6" s="4">
        <v>20.7</v>
      </c>
      <c r="I6" s="4">
        <v>62</v>
      </c>
      <c r="J6" s="4">
        <v>7.9000000000000009E-5</v>
      </c>
      <c r="K6" s="4">
        <v>20</v>
      </c>
      <c r="L6" s="5">
        <v>71</v>
      </c>
      <c r="M6" s="5">
        <v>147</v>
      </c>
      <c r="N6" s="5">
        <f t="shared" si="0"/>
        <v>2.0704225352112675</v>
      </c>
      <c r="O6" s="4">
        <v>2.1</v>
      </c>
      <c r="P6" s="4">
        <v>480</v>
      </c>
      <c r="Q6" s="4">
        <v>4800</v>
      </c>
      <c r="R6" s="4">
        <v>1.57</v>
      </c>
      <c r="S6" s="4">
        <v>1.1299999999999999</v>
      </c>
      <c r="T6" s="4">
        <v>790</v>
      </c>
    </row>
    <row r="7" spans="1:20" x14ac:dyDescent="0.25">
      <c r="A7" s="3" t="s">
        <v>24</v>
      </c>
      <c r="B7" s="4">
        <v>2</v>
      </c>
      <c r="C7" s="4">
        <v>2.4300000000000002</v>
      </c>
      <c r="D7" s="4">
        <v>6.6</v>
      </c>
      <c r="E7" s="4">
        <v>9.7100000000000009</v>
      </c>
      <c r="F7" s="4">
        <v>50.9</v>
      </c>
      <c r="G7" s="4">
        <v>0.82299999999999995</v>
      </c>
      <c r="H7" s="4">
        <v>6.58</v>
      </c>
      <c r="I7" s="4">
        <v>20.3</v>
      </c>
      <c r="J7" s="4">
        <v>7.9000000000000009E-5</v>
      </c>
      <c r="K7" s="4">
        <v>20</v>
      </c>
      <c r="L7" s="5">
        <v>71</v>
      </c>
      <c r="M7" s="5">
        <v>147</v>
      </c>
      <c r="N7" s="5">
        <f t="shared" si="0"/>
        <v>2.0704225352112675</v>
      </c>
      <c r="O7" s="4">
        <v>2.1</v>
      </c>
      <c r="P7" s="4">
        <v>480</v>
      </c>
      <c r="Q7" s="4">
        <v>8400</v>
      </c>
      <c r="R7" s="4">
        <v>1.22</v>
      </c>
      <c r="S7" s="4">
        <v>1.61</v>
      </c>
      <c r="T7" s="4">
        <v>1070</v>
      </c>
    </row>
    <row r="8" spans="1:20" x14ac:dyDescent="0.25">
      <c r="A8" s="3" t="s">
        <v>25</v>
      </c>
      <c r="B8" s="4">
        <v>4</v>
      </c>
      <c r="C8" s="4">
        <v>2.71</v>
      </c>
      <c r="D8" s="4">
        <v>13.4</v>
      </c>
      <c r="E8" s="4">
        <v>10.9</v>
      </c>
      <c r="F8" s="4">
        <v>89.9</v>
      </c>
      <c r="G8" s="4">
        <v>1.48</v>
      </c>
      <c r="H8" s="4">
        <v>7.44</v>
      </c>
      <c r="I8" s="4">
        <v>33</v>
      </c>
      <c r="J8" s="4">
        <v>2.9E-4</v>
      </c>
      <c r="K8" s="4">
        <v>12</v>
      </c>
      <c r="L8" s="5">
        <v>91.5</v>
      </c>
      <c r="M8" s="5">
        <v>175</v>
      </c>
      <c r="N8" s="5">
        <f t="shared" si="0"/>
        <v>1.9125683060109289</v>
      </c>
      <c r="O8" s="4">
        <v>3.8</v>
      </c>
      <c r="P8" s="4">
        <v>480</v>
      </c>
      <c r="Q8" s="4">
        <v>4700</v>
      </c>
      <c r="R8" s="4">
        <v>2.96</v>
      </c>
      <c r="S8" s="4">
        <v>2.0499999999999998</v>
      </c>
      <c r="T8" s="4">
        <v>1460</v>
      </c>
    </row>
    <row r="9" spans="1:20" x14ac:dyDescent="0.25">
      <c r="A9" s="3" t="s">
        <v>26</v>
      </c>
      <c r="B9" s="4">
        <v>4</v>
      </c>
      <c r="C9" s="4">
        <v>4.6900000000000004</v>
      </c>
      <c r="D9" s="4">
        <v>13.4</v>
      </c>
      <c r="E9" s="4">
        <v>18.8</v>
      </c>
      <c r="F9" s="4">
        <v>51.9</v>
      </c>
      <c r="G9" s="4">
        <v>0.85299999999999998</v>
      </c>
      <c r="H9" s="4">
        <v>2.39</v>
      </c>
      <c r="I9" s="4">
        <v>11</v>
      </c>
      <c r="J9" s="4">
        <v>2.9E-4</v>
      </c>
      <c r="K9" s="4">
        <v>12</v>
      </c>
      <c r="L9" s="5">
        <v>91.5</v>
      </c>
      <c r="M9" s="5">
        <v>175</v>
      </c>
      <c r="N9" s="5">
        <f t="shared" si="0"/>
        <v>1.9125683060109289</v>
      </c>
      <c r="O9" s="4">
        <v>3.8</v>
      </c>
      <c r="P9" s="4">
        <v>480</v>
      </c>
      <c r="Q9" s="4">
        <v>7200</v>
      </c>
      <c r="R9" s="4">
        <v>2.2799999999999998</v>
      </c>
      <c r="S9" s="4">
        <v>2.79</v>
      </c>
      <c r="T9" s="4">
        <v>1720</v>
      </c>
    </row>
    <row r="10" spans="1:20" x14ac:dyDescent="0.25">
      <c r="A10" s="3" t="s">
        <v>27</v>
      </c>
      <c r="B10" s="4">
        <v>5.5</v>
      </c>
      <c r="C10" s="4">
        <v>5.24</v>
      </c>
      <c r="D10" s="4">
        <v>18.8</v>
      </c>
      <c r="E10" s="4">
        <v>21</v>
      </c>
      <c r="F10" s="4">
        <v>65.599999999999994</v>
      </c>
      <c r="G10" s="4">
        <v>1.05</v>
      </c>
      <c r="H10" s="4">
        <v>2.33</v>
      </c>
      <c r="I10" s="4">
        <v>10.9</v>
      </c>
      <c r="J10" s="4">
        <v>4.2600000000000005E-4</v>
      </c>
      <c r="K10" s="4">
        <v>18</v>
      </c>
      <c r="L10" s="5">
        <v>91.5</v>
      </c>
      <c r="M10" s="5">
        <v>200</v>
      </c>
      <c r="N10" s="5">
        <f t="shared" si="0"/>
        <v>2.1857923497267762</v>
      </c>
      <c r="O10" s="4">
        <v>4.8</v>
      </c>
      <c r="P10" s="4">
        <v>480</v>
      </c>
      <c r="Q10" s="4">
        <v>6200</v>
      </c>
      <c r="R10" s="4">
        <v>2.82</v>
      </c>
      <c r="S10" s="4">
        <v>2.83</v>
      </c>
      <c r="T10" s="4">
        <v>1830</v>
      </c>
    </row>
    <row r="11" spans="1:20" x14ac:dyDescent="0.25">
      <c r="A11" s="3" t="s">
        <v>28</v>
      </c>
      <c r="B11" s="4">
        <v>5.5</v>
      </c>
      <c r="C11" s="4">
        <v>6.64</v>
      </c>
      <c r="D11" s="4">
        <v>18.8</v>
      </c>
      <c r="E11" s="4">
        <v>26.5</v>
      </c>
      <c r="F11" s="4">
        <v>51.8</v>
      </c>
      <c r="G11" s="4">
        <v>0.82799999999999996</v>
      </c>
      <c r="H11" s="4">
        <v>1.48</v>
      </c>
      <c r="I11" s="4">
        <v>6.8</v>
      </c>
      <c r="J11" s="4">
        <v>4.2600000000000005E-4</v>
      </c>
      <c r="K11" s="4">
        <v>18</v>
      </c>
      <c r="L11" s="5">
        <v>91.5</v>
      </c>
      <c r="M11" s="5">
        <v>200</v>
      </c>
      <c r="N11" s="5">
        <f t="shared" si="0"/>
        <v>2.1857923497267762</v>
      </c>
      <c r="O11" s="4">
        <v>4.8</v>
      </c>
      <c r="P11" s="4">
        <v>480</v>
      </c>
      <c r="Q11" s="4">
        <v>6200</v>
      </c>
      <c r="R11" s="4">
        <v>2.82</v>
      </c>
      <c r="S11" s="4">
        <v>3.58</v>
      </c>
      <c r="T11" s="4">
        <v>1830</v>
      </c>
    </row>
    <row r="12" spans="1:20" x14ac:dyDescent="0.25">
      <c r="A12" s="3" t="s">
        <v>29</v>
      </c>
      <c r="B12" s="4">
        <v>8</v>
      </c>
      <c r="C12" s="4">
        <v>5.31</v>
      </c>
      <c r="D12" s="4">
        <v>26.7</v>
      </c>
      <c r="E12" s="4">
        <v>21.2</v>
      </c>
      <c r="F12" s="4">
        <v>95.7</v>
      </c>
      <c r="G12" s="4">
        <v>1.51</v>
      </c>
      <c r="H12" s="4">
        <v>2.2400000000000002</v>
      </c>
      <c r="I12" s="4">
        <v>19.2</v>
      </c>
      <c r="J12" s="4">
        <v>9.8000000000000019E-4</v>
      </c>
      <c r="K12" s="4">
        <v>27</v>
      </c>
      <c r="L12" s="5">
        <v>121</v>
      </c>
      <c r="M12" s="5">
        <v>181</v>
      </c>
      <c r="N12" s="5">
        <f t="shared" si="0"/>
        <v>1.4958677685950412</v>
      </c>
      <c r="O12" s="4">
        <v>7</v>
      </c>
      <c r="P12" s="4">
        <v>480</v>
      </c>
      <c r="Q12" s="4">
        <v>4500</v>
      </c>
      <c r="R12" s="4">
        <v>5.57</v>
      </c>
      <c r="S12" s="4">
        <v>3.89</v>
      </c>
      <c r="T12" s="4">
        <v>2620</v>
      </c>
    </row>
    <row r="13" spans="1:20" x14ac:dyDescent="0.25">
      <c r="A13" s="3" t="s">
        <v>30</v>
      </c>
      <c r="B13" s="4">
        <v>8</v>
      </c>
      <c r="C13" s="4">
        <v>9.89</v>
      </c>
      <c r="D13" s="4">
        <v>26.7</v>
      </c>
      <c r="E13" s="4">
        <v>39.5</v>
      </c>
      <c r="F13" s="4">
        <v>51.3</v>
      </c>
      <c r="G13" s="4">
        <v>0.80900000000000005</v>
      </c>
      <c r="H13" s="4">
        <v>0.60299999999999998</v>
      </c>
      <c r="I13" s="4">
        <v>5.52</v>
      </c>
      <c r="J13" s="4">
        <v>9.8000000000000019E-4</v>
      </c>
      <c r="K13" s="4">
        <v>27</v>
      </c>
      <c r="L13" s="5">
        <v>121</v>
      </c>
      <c r="M13" s="5">
        <v>181</v>
      </c>
      <c r="N13" s="5">
        <f t="shared" si="0"/>
        <v>1.4958677685950412</v>
      </c>
      <c r="O13" s="4">
        <v>7</v>
      </c>
      <c r="P13" s="4">
        <v>480</v>
      </c>
      <c r="Q13" s="4">
        <v>5700</v>
      </c>
      <c r="R13" s="4">
        <v>4.0999999999999996</v>
      </c>
      <c r="S13" s="4">
        <v>5.56</v>
      </c>
      <c r="T13" s="4">
        <v>2450</v>
      </c>
    </row>
    <row r="14" spans="1:20" x14ac:dyDescent="0.25">
      <c r="A14" s="3" t="s">
        <v>31</v>
      </c>
      <c r="B14" s="4">
        <v>12</v>
      </c>
      <c r="C14" s="4">
        <v>5.25</v>
      </c>
      <c r="D14" s="4">
        <v>40</v>
      </c>
      <c r="E14" s="4">
        <v>21</v>
      </c>
      <c r="F14" s="4">
        <v>138</v>
      </c>
      <c r="G14" s="4">
        <v>2.29</v>
      </c>
      <c r="H14" s="4">
        <v>2.4300000000000002</v>
      </c>
      <c r="I14" s="4">
        <v>24.9</v>
      </c>
      <c r="J14" s="4">
        <v>1.4700000000000002E-3</v>
      </c>
      <c r="K14" s="4">
        <v>33</v>
      </c>
      <c r="L14" s="5">
        <v>121</v>
      </c>
      <c r="M14" s="5">
        <v>210</v>
      </c>
      <c r="N14" s="5">
        <f t="shared" si="0"/>
        <v>1.7355371900826446</v>
      </c>
      <c r="O14" s="4">
        <v>8.9</v>
      </c>
      <c r="P14" s="4">
        <v>480</v>
      </c>
      <c r="Q14" s="4">
        <v>3100</v>
      </c>
      <c r="R14" s="4">
        <v>8.84</v>
      </c>
      <c r="S14" s="4">
        <v>4</v>
      </c>
      <c r="T14" s="4">
        <v>2870</v>
      </c>
    </row>
    <row r="15" spans="1:20" x14ac:dyDescent="0.25">
      <c r="A15" s="3" t="s">
        <v>32</v>
      </c>
      <c r="B15" s="4">
        <v>12</v>
      </c>
      <c r="C15" s="4">
        <v>9.86</v>
      </c>
      <c r="D15" s="4">
        <v>40</v>
      </c>
      <c r="E15" s="4">
        <v>39.4</v>
      </c>
      <c r="F15" s="4">
        <v>73.599999999999994</v>
      </c>
      <c r="G15" s="4">
        <v>1.22</v>
      </c>
      <c r="H15" s="4">
        <v>0.67400000000000004</v>
      </c>
      <c r="I15" s="4">
        <v>7.06</v>
      </c>
      <c r="J15" s="4">
        <v>1.4700000000000002E-3</v>
      </c>
      <c r="K15" s="4">
        <v>33</v>
      </c>
      <c r="L15" s="5">
        <v>121</v>
      </c>
      <c r="M15" s="5">
        <v>210</v>
      </c>
      <c r="N15" s="5">
        <f t="shared" si="0"/>
        <v>1.7355371900826446</v>
      </c>
      <c r="O15" s="4">
        <v>8.9</v>
      </c>
      <c r="P15" s="4">
        <v>480</v>
      </c>
      <c r="Q15" s="4">
        <v>5000</v>
      </c>
      <c r="R15" s="4">
        <v>6.07</v>
      </c>
      <c r="S15" s="4">
        <v>5.41</v>
      </c>
      <c r="T15" s="4">
        <v>3180</v>
      </c>
    </row>
    <row r="16" spans="1:20" x14ac:dyDescent="0.25">
      <c r="A16" s="3" t="s">
        <v>33</v>
      </c>
      <c r="B16" s="4">
        <v>12</v>
      </c>
      <c r="C16" s="4">
        <v>13.9</v>
      </c>
      <c r="D16" s="4">
        <v>40</v>
      </c>
      <c r="E16" s="4">
        <v>55.6</v>
      </c>
      <c r="F16" s="4">
        <v>52.1</v>
      </c>
      <c r="G16" s="4">
        <v>0.86099999999999999</v>
      </c>
      <c r="H16" s="4">
        <v>0.34100000000000003</v>
      </c>
      <c r="I16" s="4">
        <v>3.53</v>
      </c>
      <c r="J16" s="4">
        <v>1.4700000000000002E-3</v>
      </c>
      <c r="K16" s="4">
        <v>33</v>
      </c>
      <c r="L16" s="5">
        <v>121</v>
      </c>
      <c r="M16" s="5">
        <v>210</v>
      </c>
      <c r="N16" s="5">
        <f t="shared" si="0"/>
        <v>1.7355371900826446</v>
      </c>
      <c r="O16" s="4">
        <v>8.9</v>
      </c>
      <c r="P16" s="4">
        <v>480</v>
      </c>
      <c r="Q16" s="4">
        <v>5000</v>
      </c>
      <c r="R16" s="4">
        <v>6.07</v>
      </c>
      <c r="S16" s="4">
        <v>7.64</v>
      </c>
      <c r="T16" s="4">
        <v>3180</v>
      </c>
    </row>
    <row r="17" spans="1:20" x14ac:dyDescent="0.25">
      <c r="A17" s="3" t="s">
        <v>34</v>
      </c>
      <c r="B17" s="4">
        <v>16</v>
      </c>
      <c r="C17" s="4">
        <v>17.600000000000001</v>
      </c>
      <c r="D17" s="4">
        <v>50</v>
      </c>
      <c r="E17" s="4">
        <v>69.099999999999994</v>
      </c>
      <c r="F17" s="4">
        <v>56.9</v>
      </c>
      <c r="G17" s="4">
        <v>0.91200000000000003</v>
      </c>
      <c r="H17" s="4">
        <v>0.379</v>
      </c>
      <c r="I17" s="4">
        <v>3.35</v>
      </c>
      <c r="J17" s="4">
        <v>3.2000000000000002E-3</v>
      </c>
      <c r="K17" s="4">
        <v>34</v>
      </c>
      <c r="L17" s="5">
        <v>158</v>
      </c>
      <c r="M17" s="5">
        <v>200</v>
      </c>
      <c r="N17" s="5">
        <f t="shared" si="0"/>
        <v>1.2658227848101267</v>
      </c>
      <c r="O17" s="4">
        <v>13</v>
      </c>
      <c r="P17" s="4">
        <v>480</v>
      </c>
      <c r="Q17" s="4">
        <v>6200</v>
      </c>
      <c r="R17" s="4">
        <v>10.35</v>
      </c>
      <c r="S17" s="4">
        <v>11.9</v>
      </c>
      <c r="T17" s="4">
        <v>6720</v>
      </c>
    </row>
    <row r="18" spans="1:20" x14ac:dyDescent="0.25">
      <c r="A18" s="3" t="s">
        <v>35</v>
      </c>
      <c r="B18" s="4">
        <v>28</v>
      </c>
      <c r="C18" s="4">
        <v>18.899999999999999</v>
      </c>
      <c r="D18" s="4">
        <v>92</v>
      </c>
      <c r="E18" s="4">
        <v>74.8</v>
      </c>
      <c r="F18" s="4">
        <v>92.2</v>
      </c>
      <c r="G18" s="4">
        <v>1.48</v>
      </c>
      <c r="H18" s="4">
        <v>0.371</v>
      </c>
      <c r="I18" s="4">
        <v>4.28</v>
      </c>
      <c r="J18" s="4">
        <v>6.2000000000000006E-3</v>
      </c>
      <c r="K18" s="4">
        <v>52</v>
      </c>
      <c r="L18" s="5">
        <v>158</v>
      </c>
      <c r="M18" s="5">
        <v>260</v>
      </c>
      <c r="N18" s="5">
        <f t="shared" si="0"/>
        <v>1.6455696202531647</v>
      </c>
      <c r="O18" s="4">
        <v>20</v>
      </c>
      <c r="P18" s="4">
        <v>480</v>
      </c>
      <c r="Q18" s="4">
        <v>4100</v>
      </c>
      <c r="R18" s="4">
        <v>16.25</v>
      </c>
      <c r="S18" s="4">
        <v>11.48</v>
      </c>
      <c r="T18" s="4">
        <v>6980</v>
      </c>
    </row>
    <row r="19" spans="1:20" x14ac:dyDescent="0.25">
      <c r="A19" s="3" t="s">
        <v>36</v>
      </c>
      <c r="B19" s="4">
        <v>41</v>
      </c>
      <c r="C19" s="4">
        <v>33</v>
      </c>
      <c r="D19" s="4">
        <v>137</v>
      </c>
      <c r="E19" s="4">
        <v>132</v>
      </c>
      <c r="F19" s="4">
        <v>77.8</v>
      </c>
      <c r="G19" s="4">
        <v>1.24</v>
      </c>
      <c r="H19" s="4">
        <v>0.156</v>
      </c>
      <c r="I19" s="4">
        <v>2.0299999999999998</v>
      </c>
      <c r="J19" s="4">
        <v>9.2000000000000016E-3</v>
      </c>
      <c r="K19" s="4">
        <v>60</v>
      </c>
      <c r="L19" s="5">
        <v>158</v>
      </c>
      <c r="M19" s="5">
        <v>320</v>
      </c>
      <c r="N19" s="5">
        <f t="shared" si="0"/>
        <v>2.0253164556962027</v>
      </c>
      <c r="O19" s="4">
        <v>27</v>
      </c>
      <c r="P19" s="4">
        <v>480</v>
      </c>
      <c r="Q19" s="4">
        <v>3200</v>
      </c>
      <c r="R19" s="4">
        <v>21.89</v>
      </c>
      <c r="S19" s="4">
        <v>18.440000000000001</v>
      </c>
      <c r="T19" s="4">
        <v>7340</v>
      </c>
    </row>
    <row r="20" spans="1:20" x14ac:dyDescent="0.25">
      <c r="A20" s="3" t="s">
        <v>37</v>
      </c>
      <c r="B20" s="4">
        <v>64</v>
      </c>
      <c r="C20" s="4">
        <v>39.200000000000003</v>
      </c>
      <c r="D20" s="4">
        <v>137</v>
      </c>
      <c r="E20" s="4">
        <v>98.7</v>
      </c>
      <c r="F20" s="4">
        <v>104</v>
      </c>
      <c r="G20" s="4">
        <v>1.63</v>
      </c>
      <c r="H20" s="4">
        <v>0.29099999999999998</v>
      </c>
      <c r="I20" s="4">
        <v>3.61</v>
      </c>
      <c r="J20" s="4">
        <v>9.2000000000000016E-3</v>
      </c>
      <c r="K20" s="4">
        <v>22</v>
      </c>
      <c r="L20" s="5">
        <v>158</v>
      </c>
      <c r="M20" s="5">
        <v>320</v>
      </c>
      <c r="N20" s="5">
        <f t="shared" si="0"/>
        <v>2.0253164556962027</v>
      </c>
      <c r="O20" s="4">
        <v>31</v>
      </c>
      <c r="P20" s="4">
        <v>480</v>
      </c>
      <c r="Q20" s="4">
        <v>4000</v>
      </c>
      <c r="R20" s="4">
        <v>39.65</v>
      </c>
      <c r="S20" s="4">
        <v>24.52</v>
      </c>
      <c r="T20" s="4">
        <v>16610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34CA-62EF-4C5C-9088-643D66D81149}">
  <dimension ref="A23:T42"/>
  <sheetViews>
    <sheetView workbookViewId="0">
      <selection activeCell="T11" sqref="T11"/>
    </sheetView>
  </sheetViews>
  <sheetFormatPr baseColWidth="10" defaultRowHeight="15" x14ac:dyDescent="0.25"/>
  <cols>
    <col min="13" max="13" width="12" bestFit="1" customWidth="1"/>
    <col min="20" max="20" width="12" bestFit="1" customWidth="1"/>
  </cols>
  <sheetData>
    <row r="23" spans="1:20" ht="90" x14ac:dyDescent="0.25">
      <c r="A23" s="2"/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7</v>
      </c>
      <c r="J23" s="1" t="s">
        <v>8</v>
      </c>
      <c r="K23" s="1" t="s">
        <v>9</v>
      </c>
      <c r="L23" s="1" t="s">
        <v>10</v>
      </c>
      <c r="M23" s="1" t="s">
        <v>11</v>
      </c>
      <c r="N23" s="1" t="s">
        <v>12</v>
      </c>
      <c r="O23" s="1" t="s">
        <v>13</v>
      </c>
      <c r="P23" s="1" t="s">
        <v>14</v>
      </c>
      <c r="Q23" s="1" t="s">
        <v>15</v>
      </c>
      <c r="R23" s="1" t="s">
        <v>16</v>
      </c>
      <c r="S23" s="1" t="s">
        <v>17</v>
      </c>
      <c r="T23" s="1" t="s">
        <v>18</v>
      </c>
    </row>
    <row r="24" spans="1:20" x14ac:dyDescent="0.25">
      <c r="A24" s="3" t="s">
        <v>19</v>
      </c>
      <c r="B24" s="4">
        <v>0.45</v>
      </c>
      <c r="C24" s="4">
        <v>0.96799999999999997</v>
      </c>
      <c r="D24" s="4">
        <v>2</v>
      </c>
      <c r="E24" s="4">
        <v>5.08</v>
      </c>
      <c r="F24" s="4">
        <v>30.2</v>
      </c>
      <c r="G24" s="4">
        <v>0.46500000000000002</v>
      </c>
      <c r="H24" s="4">
        <v>17.600000000000001</v>
      </c>
      <c r="I24" s="4">
        <v>46.4</v>
      </c>
      <c r="J24" s="4">
        <v>2.1000000000000002E-5</v>
      </c>
      <c r="K24" s="5">
        <f>8.5</f>
        <v>8.5</v>
      </c>
      <c r="L24" s="5">
        <v>56.5</v>
      </c>
      <c r="M24" s="5">
        <v>100</v>
      </c>
      <c r="N24" s="5">
        <f>M24/L24</f>
        <v>1.7699115044247788</v>
      </c>
      <c r="O24" s="4">
        <v>0.77</v>
      </c>
      <c r="P24" s="4">
        <v>400</v>
      </c>
      <c r="Q24" s="4">
        <v>7500</v>
      </c>
      <c r="R24" s="4">
        <v>0.28999999999999998</v>
      </c>
      <c r="S24" s="4">
        <v>0.68</v>
      </c>
      <c r="T24" s="4">
        <v>230</v>
      </c>
    </row>
    <row r="25" spans="1:20" x14ac:dyDescent="0.25">
      <c r="A25" s="3" t="s">
        <v>20</v>
      </c>
      <c r="B25" s="4">
        <v>0.45</v>
      </c>
      <c r="C25" s="4">
        <v>1.34</v>
      </c>
      <c r="D25" s="4">
        <v>2</v>
      </c>
      <c r="E25" s="4">
        <v>7.01</v>
      </c>
      <c r="F25" s="4">
        <v>21.9</v>
      </c>
      <c r="G25" s="4">
        <v>0.33700000000000002</v>
      </c>
      <c r="H25" s="4">
        <v>8.89</v>
      </c>
      <c r="I25" s="4">
        <v>24.3</v>
      </c>
      <c r="J25" s="4">
        <v>2.1000000000000002E-5</v>
      </c>
      <c r="K25" s="5">
        <f>8.5</f>
        <v>8.5</v>
      </c>
      <c r="L25" s="5">
        <v>56.5</v>
      </c>
      <c r="M25" s="5">
        <v>100</v>
      </c>
      <c r="N25" s="5">
        <f t="shared" ref="N25:N42" si="0">M25/L25</f>
        <v>1.7699115044247788</v>
      </c>
      <c r="O25" s="4">
        <v>0.77</v>
      </c>
      <c r="P25" s="4">
        <v>400</v>
      </c>
      <c r="Q25" s="4">
        <v>8900</v>
      </c>
      <c r="R25" s="4">
        <v>0.23</v>
      </c>
      <c r="S25" s="4">
        <v>0.79</v>
      </c>
      <c r="T25" s="4">
        <v>210</v>
      </c>
    </row>
    <row r="26" spans="1:20" x14ac:dyDescent="0.25">
      <c r="A26" s="3" t="s">
        <v>21</v>
      </c>
      <c r="B26" s="4">
        <v>1</v>
      </c>
      <c r="C26" s="4">
        <v>1.33</v>
      </c>
      <c r="D26" s="4">
        <v>3.4</v>
      </c>
      <c r="E26" s="4">
        <v>5.35</v>
      </c>
      <c r="F26" s="4">
        <v>48.6</v>
      </c>
      <c r="G26" s="4">
        <v>0.75</v>
      </c>
      <c r="H26" s="4">
        <v>16.3</v>
      </c>
      <c r="I26" s="4">
        <v>56</v>
      </c>
      <c r="J26" s="4">
        <v>3.8000000000000002E-5</v>
      </c>
      <c r="K26" s="5">
        <f>350/60</f>
        <v>5.833333333333333</v>
      </c>
      <c r="L26" s="5">
        <v>56.5</v>
      </c>
      <c r="M26" s="5">
        <v>120</v>
      </c>
      <c r="N26" s="5">
        <f t="shared" si="0"/>
        <v>2.1238938053097347</v>
      </c>
      <c r="O26" s="4">
        <v>1.3</v>
      </c>
      <c r="P26" s="4">
        <v>400</v>
      </c>
      <c r="Q26" s="4">
        <v>6000</v>
      </c>
      <c r="R26" s="4">
        <v>0.61</v>
      </c>
      <c r="S26" s="4">
        <v>0.89</v>
      </c>
      <c r="T26" s="4">
        <v>390</v>
      </c>
    </row>
    <row r="27" spans="1:20" x14ac:dyDescent="0.25">
      <c r="A27" s="3" t="s">
        <v>22</v>
      </c>
      <c r="B27" s="4">
        <v>1</v>
      </c>
      <c r="C27" s="4">
        <v>1.99</v>
      </c>
      <c r="D27" s="4">
        <v>3.4</v>
      </c>
      <c r="E27" s="4">
        <v>7.96</v>
      </c>
      <c r="F27" s="4">
        <v>32.6</v>
      </c>
      <c r="G27" s="4">
        <v>0.503</v>
      </c>
      <c r="H27" s="4">
        <v>7.74</v>
      </c>
      <c r="I27" s="4">
        <v>25.2</v>
      </c>
      <c r="J27" s="4">
        <v>3.8000000000000002E-5</v>
      </c>
      <c r="K27" s="5">
        <f>350/60</f>
        <v>5.833333333333333</v>
      </c>
      <c r="L27" s="5">
        <v>56.5</v>
      </c>
      <c r="M27" s="5">
        <v>120</v>
      </c>
      <c r="N27" s="5">
        <f t="shared" si="0"/>
        <v>2.1238938053097347</v>
      </c>
      <c r="O27" s="4">
        <v>1.3</v>
      </c>
      <c r="P27" s="4">
        <v>400</v>
      </c>
      <c r="Q27" s="4">
        <v>7000</v>
      </c>
      <c r="R27" s="4">
        <v>0.5</v>
      </c>
      <c r="S27" s="4">
        <v>1.1100000000000001</v>
      </c>
      <c r="T27" s="4">
        <v>370</v>
      </c>
    </row>
    <row r="28" spans="1:20" x14ac:dyDescent="0.25">
      <c r="A28" s="3" t="s">
        <v>23</v>
      </c>
      <c r="B28" s="4">
        <v>2</v>
      </c>
      <c r="C28" s="4">
        <v>1.39</v>
      </c>
      <c r="D28" s="4">
        <v>6.6</v>
      </c>
      <c r="E28" s="4">
        <v>5.56</v>
      </c>
      <c r="F28" s="4">
        <v>88.9</v>
      </c>
      <c r="G28" s="4">
        <v>1.44</v>
      </c>
      <c r="H28" s="4">
        <v>20.7</v>
      </c>
      <c r="I28" s="4">
        <v>62</v>
      </c>
      <c r="J28" s="4">
        <v>7.9000000000000009E-5</v>
      </c>
      <c r="K28" s="4">
        <v>20</v>
      </c>
      <c r="L28" s="5">
        <v>71</v>
      </c>
      <c r="M28" s="5">
        <v>147</v>
      </c>
      <c r="N28" s="5">
        <f t="shared" si="0"/>
        <v>2.0704225352112675</v>
      </c>
      <c r="O28" s="4">
        <v>2.1</v>
      </c>
      <c r="P28" s="4">
        <v>480</v>
      </c>
      <c r="Q28" s="4">
        <v>4800</v>
      </c>
      <c r="R28" s="4">
        <v>1.57</v>
      </c>
      <c r="S28" s="4">
        <v>1.1299999999999999</v>
      </c>
      <c r="T28" s="4">
        <v>790</v>
      </c>
    </row>
    <row r="29" spans="1:20" x14ac:dyDescent="0.25">
      <c r="A29" s="3" t="s">
        <v>24</v>
      </c>
      <c r="B29" s="4">
        <v>2</v>
      </c>
      <c r="C29" s="4">
        <v>2.4300000000000002</v>
      </c>
      <c r="D29" s="4">
        <v>6.6</v>
      </c>
      <c r="E29" s="4">
        <v>9.7100000000000009</v>
      </c>
      <c r="F29" s="4">
        <v>50.9</v>
      </c>
      <c r="G29" s="4">
        <v>0.82299999999999995</v>
      </c>
      <c r="H29" s="4">
        <v>6.58</v>
      </c>
      <c r="I29" s="4">
        <v>20.3</v>
      </c>
      <c r="J29" s="4">
        <v>7.9000000000000009E-5</v>
      </c>
      <c r="K29" s="4">
        <v>20</v>
      </c>
      <c r="L29" s="5">
        <v>71</v>
      </c>
      <c r="M29" s="5">
        <v>147</v>
      </c>
      <c r="N29" s="5">
        <f t="shared" si="0"/>
        <v>2.0704225352112675</v>
      </c>
      <c r="O29" s="4">
        <v>2.1</v>
      </c>
      <c r="P29" s="4">
        <v>480</v>
      </c>
      <c r="Q29" s="4">
        <v>8400</v>
      </c>
      <c r="R29" s="4">
        <v>1.22</v>
      </c>
      <c r="S29" s="4">
        <v>1.61</v>
      </c>
      <c r="T29" s="4">
        <v>1070</v>
      </c>
    </row>
    <row r="30" spans="1:20" x14ac:dyDescent="0.25">
      <c r="A30" s="3" t="s">
        <v>25</v>
      </c>
      <c r="B30" s="4">
        <v>4</v>
      </c>
      <c r="C30" s="4">
        <v>2.71</v>
      </c>
      <c r="D30" s="4">
        <v>13.4</v>
      </c>
      <c r="E30" s="4">
        <v>10.9</v>
      </c>
      <c r="F30" s="4">
        <v>89.9</v>
      </c>
      <c r="G30" s="4">
        <v>1.48</v>
      </c>
      <c r="H30" s="4">
        <v>7.44</v>
      </c>
      <c r="I30" s="4">
        <v>33</v>
      </c>
      <c r="J30" s="4">
        <v>2.9E-4</v>
      </c>
      <c r="K30" s="4">
        <v>12</v>
      </c>
      <c r="L30" s="5">
        <v>91.5</v>
      </c>
      <c r="M30" s="5">
        <v>175</v>
      </c>
      <c r="N30" s="5">
        <f t="shared" si="0"/>
        <v>1.9125683060109289</v>
      </c>
      <c r="O30" s="4">
        <v>3.8</v>
      </c>
      <c r="P30" s="4">
        <v>480</v>
      </c>
      <c r="Q30" s="4">
        <v>4700</v>
      </c>
      <c r="R30" s="4">
        <v>2.96</v>
      </c>
      <c r="S30" s="4">
        <v>2.0499999999999998</v>
      </c>
      <c r="T30" s="4">
        <v>1460</v>
      </c>
    </row>
    <row r="31" spans="1:20" x14ac:dyDescent="0.25">
      <c r="A31" s="3" t="s">
        <v>26</v>
      </c>
      <c r="B31" s="4">
        <v>4</v>
      </c>
      <c r="C31" s="4">
        <v>4.6900000000000004</v>
      </c>
      <c r="D31" s="4">
        <v>13.4</v>
      </c>
      <c r="E31" s="4">
        <v>18.8</v>
      </c>
      <c r="F31" s="4">
        <v>51.9</v>
      </c>
      <c r="G31" s="4">
        <v>0.85299999999999998</v>
      </c>
      <c r="H31" s="4">
        <v>2.39</v>
      </c>
      <c r="I31" s="4">
        <v>11</v>
      </c>
      <c r="J31" s="4">
        <v>2.9E-4</v>
      </c>
      <c r="K31" s="4">
        <v>12</v>
      </c>
      <c r="L31" s="5">
        <v>91.5</v>
      </c>
      <c r="M31" s="5">
        <v>175</v>
      </c>
      <c r="N31" s="5">
        <f t="shared" si="0"/>
        <v>1.9125683060109289</v>
      </c>
      <c r="O31" s="4">
        <v>3.8</v>
      </c>
      <c r="P31" s="4">
        <v>480</v>
      </c>
      <c r="Q31" s="4">
        <v>7200</v>
      </c>
      <c r="R31" s="4">
        <v>2.2799999999999998</v>
      </c>
      <c r="S31" s="4">
        <v>2.79</v>
      </c>
      <c r="T31" s="4">
        <v>1720</v>
      </c>
    </row>
    <row r="32" spans="1:20" x14ac:dyDescent="0.25">
      <c r="A32" s="3" t="s">
        <v>27</v>
      </c>
      <c r="B32" s="4">
        <v>5.5</v>
      </c>
      <c r="C32" s="4">
        <v>5.24</v>
      </c>
      <c r="D32" s="4">
        <v>18.8</v>
      </c>
      <c r="E32" s="4">
        <v>21</v>
      </c>
      <c r="F32" s="4">
        <v>65.599999999999994</v>
      </c>
      <c r="G32" s="4">
        <v>1.05</v>
      </c>
      <c r="H32" s="4">
        <v>2.33</v>
      </c>
      <c r="I32" s="4">
        <v>10.9</v>
      </c>
      <c r="J32" s="4">
        <v>4.2600000000000005E-4</v>
      </c>
      <c r="K32" s="4">
        <v>18</v>
      </c>
      <c r="L32" s="5">
        <v>91.5</v>
      </c>
      <c r="M32" s="5">
        <v>200</v>
      </c>
      <c r="N32" s="5">
        <f t="shared" si="0"/>
        <v>2.1857923497267762</v>
      </c>
      <c r="O32" s="4">
        <v>4.8</v>
      </c>
      <c r="P32" s="4">
        <v>480</v>
      </c>
      <c r="Q32" s="4">
        <v>6200</v>
      </c>
      <c r="R32" s="4">
        <v>2.82</v>
      </c>
      <c r="S32" s="4">
        <v>2.83</v>
      </c>
      <c r="T32" s="4">
        <v>1830</v>
      </c>
    </row>
    <row r="33" spans="1:20" x14ac:dyDescent="0.25">
      <c r="A33" s="3" t="s">
        <v>28</v>
      </c>
      <c r="B33" s="4">
        <v>5.5</v>
      </c>
      <c r="C33" s="4">
        <v>6.64</v>
      </c>
      <c r="D33" s="4">
        <v>18.8</v>
      </c>
      <c r="E33" s="4">
        <v>26.5</v>
      </c>
      <c r="F33" s="4">
        <v>51.8</v>
      </c>
      <c r="G33" s="4">
        <v>0.82799999999999996</v>
      </c>
      <c r="H33" s="4">
        <v>1.48</v>
      </c>
      <c r="I33" s="4">
        <v>6.8</v>
      </c>
      <c r="J33" s="4">
        <v>4.2600000000000005E-4</v>
      </c>
      <c r="K33" s="4">
        <v>18</v>
      </c>
      <c r="L33" s="5">
        <v>91.5</v>
      </c>
      <c r="M33" s="5">
        <v>200</v>
      </c>
      <c r="N33" s="5">
        <f t="shared" si="0"/>
        <v>2.1857923497267762</v>
      </c>
      <c r="O33" s="4">
        <v>4.8</v>
      </c>
      <c r="P33" s="4">
        <v>480</v>
      </c>
      <c r="Q33" s="4">
        <v>6200</v>
      </c>
      <c r="R33" s="4">
        <v>2.82</v>
      </c>
      <c r="S33" s="4">
        <v>3.58</v>
      </c>
      <c r="T33" s="4">
        <v>1830</v>
      </c>
    </row>
    <row r="34" spans="1:20" x14ac:dyDescent="0.25">
      <c r="A34" s="3" t="s">
        <v>29</v>
      </c>
      <c r="B34" s="4">
        <v>8</v>
      </c>
      <c r="C34" s="4">
        <v>5.31</v>
      </c>
      <c r="D34" s="4">
        <v>26.7</v>
      </c>
      <c r="E34" s="4">
        <v>21.2</v>
      </c>
      <c r="F34" s="4">
        <v>95.7</v>
      </c>
      <c r="G34" s="4">
        <v>1.51</v>
      </c>
      <c r="H34" s="4">
        <v>2.2400000000000002</v>
      </c>
      <c r="I34" s="4">
        <v>19.2</v>
      </c>
      <c r="J34" s="4">
        <v>9.8000000000000019E-4</v>
      </c>
      <c r="K34" s="4">
        <v>27</v>
      </c>
      <c r="L34" s="5">
        <v>121</v>
      </c>
      <c r="M34" s="5">
        <v>181</v>
      </c>
      <c r="N34" s="5">
        <f t="shared" si="0"/>
        <v>1.4958677685950412</v>
      </c>
      <c r="O34" s="4">
        <v>7</v>
      </c>
      <c r="P34" s="4">
        <v>480</v>
      </c>
      <c r="Q34" s="4">
        <v>4500</v>
      </c>
      <c r="R34" s="4">
        <v>5.57</v>
      </c>
      <c r="S34" s="4">
        <v>3.89</v>
      </c>
      <c r="T34" s="4">
        <v>2620</v>
      </c>
    </row>
    <row r="35" spans="1:20" x14ac:dyDescent="0.25">
      <c r="A35" s="3" t="s">
        <v>30</v>
      </c>
      <c r="B35" s="4">
        <v>8</v>
      </c>
      <c r="C35" s="4">
        <v>9.89</v>
      </c>
      <c r="D35" s="4">
        <v>26.7</v>
      </c>
      <c r="E35" s="4">
        <v>39.5</v>
      </c>
      <c r="F35" s="4">
        <v>51.3</v>
      </c>
      <c r="G35" s="4">
        <v>0.80900000000000005</v>
      </c>
      <c r="H35" s="4">
        <v>0.60299999999999998</v>
      </c>
      <c r="I35" s="4">
        <v>5.52</v>
      </c>
      <c r="J35" s="4">
        <v>9.8000000000000019E-4</v>
      </c>
      <c r="K35" s="4">
        <v>27</v>
      </c>
      <c r="L35" s="5">
        <v>121</v>
      </c>
      <c r="M35" s="5">
        <v>181</v>
      </c>
      <c r="N35" s="5">
        <f t="shared" si="0"/>
        <v>1.4958677685950412</v>
      </c>
      <c r="O35" s="4">
        <v>7</v>
      </c>
      <c r="P35" s="4">
        <v>480</v>
      </c>
      <c r="Q35" s="4">
        <v>5700</v>
      </c>
      <c r="R35" s="4">
        <v>4.0999999999999996</v>
      </c>
      <c r="S35" s="4">
        <v>5.56</v>
      </c>
      <c r="T35" s="4">
        <v>2450</v>
      </c>
    </row>
    <row r="36" spans="1:20" x14ac:dyDescent="0.25">
      <c r="A36" s="3" t="s">
        <v>31</v>
      </c>
      <c r="B36" s="4">
        <v>12</v>
      </c>
      <c r="C36" s="4">
        <v>5.25</v>
      </c>
      <c r="D36" s="4">
        <v>40</v>
      </c>
      <c r="E36" s="4">
        <v>21</v>
      </c>
      <c r="F36" s="4">
        <v>138</v>
      </c>
      <c r="G36" s="4">
        <v>2.29</v>
      </c>
      <c r="H36" s="4">
        <v>2.4300000000000002</v>
      </c>
      <c r="I36" s="4">
        <v>24.9</v>
      </c>
      <c r="J36" s="4">
        <v>1.4700000000000002E-3</v>
      </c>
      <c r="K36" s="4">
        <v>33</v>
      </c>
      <c r="L36" s="5">
        <v>121</v>
      </c>
      <c r="M36" s="5">
        <v>210</v>
      </c>
      <c r="N36" s="5">
        <f t="shared" si="0"/>
        <v>1.7355371900826446</v>
      </c>
      <c r="O36" s="4">
        <v>8.9</v>
      </c>
      <c r="P36" s="4">
        <v>480</v>
      </c>
      <c r="Q36" s="4">
        <v>3100</v>
      </c>
      <c r="R36" s="4">
        <v>8.84</v>
      </c>
      <c r="S36" s="4">
        <v>4</v>
      </c>
      <c r="T36" s="4">
        <v>2870</v>
      </c>
    </row>
    <row r="37" spans="1:20" x14ac:dyDescent="0.25">
      <c r="A37" s="3" t="s">
        <v>32</v>
      </c>
      <c r="B37" s="4">
        <v>12</v>
      </c>
      <c r="C37" s="4">
        <v>9.86</v>
      </c>
      <c r="D37" s="4">
        <v>40</v>
      </c>
      <c r="E37" s="4">
        <v>39.4</v>
      </c>
      <c r="F37" s="4">
        <v>73.599999999999994</v>
      </c>
      <c r="G37" s="4">
        <v>1.22</v>
      </c>
      <c r="H37" s="4">
        <v>0.67400000000000004</v>
      </c>
      <c r="I37" s="4">
        <v>7.06</v>
      </c>
      <c r="J37" s="4">
        <v>1.4700000000000002E-3</v>
      </c>
      <c r="K37" s="4">
        <v>33</v>
      </c>
      <c r="L37" s="5">
        <v>121</v>
      </c>
      <c r="M37" s="5">
        <v>210</v>
      </c>
      <c r="N37" s="5">
        <f t="shared" si="0"/>
        <v>1.7355371900826446</v>
      </c>
      <c r="O37" s="4">
        <v>8.9</v>
      </c>
      <c r="P37" s="4">
        <v>480</v>
      </c>
      <c r="Q37" s="4">
        <v>5000</v>
      </c>
      <c r="R37" s="4">
        <v>6.07</v>
      </c>
      <c r="S37" s="4">
        <v>5.41</v>
      </c>
      <c r="T37" s="4">
        <v>3180</v>
      </c>
    </row>
    <row r="38" spans="1:20" x14ac:dyDescent="0.25">
      <c r="A38" s="3" t="s">
        <v>33</v>
      </c>
      <c r="B38" s="4">
        <v>12</v>
      </c>
      <c r="C38" s="4">
        <v>13.9</v>
      </c>
      <c r="D38" s="4">
        <v>40</v>
      </c>
      <c r="E38" s="4">
        <v>55.6</v>
      </c>
      <c r="F38" s="4">
        <v>52.1</v>
      </c>
      <c r="G38" s="4">
        <v>0.86099999999999999</v>
      </c>
      <c r="H38" s="4">
        <v>0.34100000000000003</v>
      </c>
      <c r="I38" s="4">
        <v>3.53</v>
      </c>
      <c r="J38" s="4">
        <v>1.4700000000000002E-3</v>
      </c>
      <c r="K38" s="4">
        <v>33</v>
      </c>
      <c r="L38" s="5">
        <v>121</v>
      </c>
      <c r="M38" s="5">
        <v>210</v>
      </c>
      <c r="N38" s="5">
        <f t="shared" si="0"/>
        <v>1.7355371900826446</v>
      </c>
      <c r="O38" s="4">
        <v>8.9</v>
      </c>
      <c r="P38" s="4">
        <v>480</v>
      </c>
      <c r="Q38" s="4">
        <v>5000</v>
      </c>
      <c r="R38" s="4">
        <v>6.07</v>
      </c>
      <c r="S38" s="4">
        <v>7.64</v>
      </c>
      <c r="T38" s="4">
        <v>3180</v>
      </c>
    </row>
    <row r="39" spans="1:20" x14ac:dyDescent="0.25">
      <c r="A39" s="3" t="s">
        <v>34</v>
      </c>
      <c r="B39" s="4">
        <v>16</v>
      </c>
      <c r="C39" s="4">
        <v>17.600000000000001</v>
      </c>
      <c r="D39" s="4">
        <v>50</v>
      </c>
      <c r="E39" s="4">
        <v>69.099999999999994</v>
      </c>
      <c r="F39" s="4">
        <v>56.9</v>
      </c>
      <c r="G39" s="4">
        <v>0.91200000000000003</v>
      </c>
      <c r="H39" s="4">
        <v>0.379</v>
      </c>
      <c r="I39" s="4">
        <v>3.35</v>
      </c>
      <c r="J39" s="4">
        <v>3.2000000000000002E-3</v>
      </c>
      <c r="K39" s="4">
        <v>34</v>
      </c>
      <c r="L39" s="5">
        <v>158</v>
      </c>
      <c r="M39" s="5">
        <v>200</v>
      </c>
      <c r="N39" s="5">
        <f t="shared" si="0"/>
        <v>1.2658227848101267</v>
      </c>
      <c r="O39" s="4">
        <v>13</v>
      </c>
      <c r="P39" s="4">
        <v>480</v>
      </c>
      <c r="Q39" s="4">
        <v>6200</v>
      </c>
      <c r="R39" s="4">
        <v>10.35</v>
      </c>
      <c r="S39" s="4">
        <v>11.9</v>
      </c>
      <c r="T39" s="4">
        <v>6720</v>
      </c>
    </row>
    <row r="40" spans="1:20" x14ac:dyDescent="0.25">
      <c r="A40" s="3" t="s">
        <v>35</v>
      </c>
      <c r="B40" s="4">
        <v>28</v>
      </c>
      <c r="C40" s="4">
        <v>18.899999999999999</v>
      </c>
      <c r="D40" s="4">
        <v>92</v>
      </c>
      <c r="E40" s="4">
        <v>74.8</v>
      </c>
      <c r="F40" s="4">
        <v>92.2</v>
      </c>
      <c r="G40" s="4">
        <v>1.48</v>
      </c>
      <c r="H40" s="4">
        <v>0.371</v>
      </c>
      <c r="I40" s="4">
        <v>4.28</v>
      </c>
      <c r="J40" s="4">
        <v>6.2000000000000006E-3</v>
      </c>
      <c r="K40" s="4">
        <v>52</v>
      </c>
      <c r="L40" s="5">
        <v>158</v>
      </c>
      <c r="M40" s="5">
        <v>260</v>
      </c>
      <c r="N40" s="5">
        <f t="shared" si="0"/>
        <v>1.6455696202531647</v>
      </c>
      <c r="O40" s="4">
        <v>20</v>
      </c>
      <c r="P40" s="4">
        <v>480</v>
      </c>
      <c r="Q40" s="4">
        <v>4100</v>
      </c>
      <c r="R40" s="4">
        <v>16.25</v>
      </c>
      <c r="S40" s="4">
        <v>11.48</v>
      </c>
      <c r="T40" s="4">
        <v>6980</v>
      </c>
    </row>
    <row r="41" spans="1:20" x14ac:dyDescent="0.25">
      <c r="A41" s="3" t="s">
        <v>36</v>
      </c>
      <c r="B41" s="4">
        <v>41</v>
      </c>
      <c r="C41" s="4">
        <v>33</v>
      </c>
      <c r="D41" s="4">
        <v>137</v>
      </c>
      <c r="E41" s="4">
        <v>132</v>
      </c>
      <c r="F41" s="4">
        <v>77.8</v>
      </c>
      <c r="G41" s="4">
        <v>1.24</v>
      </c>
      <c r="H41" s="4">
        <v>0.156</v>
      </c>
      <c r="I41" s="4">
        <v>2.0299999999999998</v>
      </c>
      <c r="J41" s="4">
        <v>9.2000000000000016E-3</v>
      </c>
      <c r="K41" s="4">
        <v>60</v>
      </c>
      <c r="L41" s="5">
        <v>158</v>
      </c>
      <c r="M41" s="5">
        <v>320</v>
      </c>
      <c r="N41" s="5">
        <f t="shared" si="0"/>
        <v>2.0253164556962027</v>
      </c>
      <c r="O41" s="4">
        <v>27</v>
      </c>
      <c r="P41" s="4">
        <v>480</v>
      </c>
      <c r="Q41" s="4">
        <v>3200</v>
      </c>
      <c r="R41" s="4">
        <v>21.89</v>
      </c>
      <c r="S41" s="4">
        <v>18.440000000000001</v>
      </c>
      <c r="T41" s="4">
        <v>7340</v>
      </c>
    </row>
    <row r="42" spans="1:20" x14ac:dyDescent="0.25">
      <c r="A42" s="3" t="s">
        <v>37</v>
      </c>
      <c r="B42" s="4">
        <v>64</v>
      </c>
      <c r="C42" s="4">
        <v>39.200000000000003</v>
      </c>
      <c r="D42" s="4">
        <v>137</v>
      </c>
      <c r="E42" s="4">
        <v>98.7</v>
      </c>
      <c r="F42" s="4">
        <v>104</v>
      </c>
      <c r="G42" s="4">
        <v>1.63</v>
      </c>
      <c r="H42" s="4">
        <v>0.29099999999999998</v>
      </c>
      <c r="I42" s="4">
        <v>3.61</v>
      </c>
      <c r="J42" s="4">
        <v>9.2000000000000016E-3</v>
      </c>
      <c r="K42" s="4">
        <v>22</v>
      </c>
      <c r="L42" s="5">
        <v>158</v>
      </c>
      <c r="M42" s="5">
        <v>320</v>
      </c>
      <c r="N42" s="5">
        <f t="shared" si="0"/>
        <v>2.0253164556962027</v>
      </c>
      <c r="O42" s="4">
        <v>31</v>
      </c>
      <c r="P42" s="4">
        <v>480</v>
      </c>
      <c r="Q42" s="4">
        <v>4000</v>
      </c>
      <c r="R42" s="4">
        <v>39.65</v>
      </c>
      <c r="S42" s="4">
        <v>24.52</v>
      </c>
      <c r="T42" s="4">
        <v>16610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ParvexMotor</vt:lpstr>
      <vt:lpstr>Correction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Budinger</dc:creator>
  <cp:lastModifiedBy>Marc Budinger</cp:lastModifiedBy>
  <dcterms:created xsi:type="dcterms:W3CDTF">2025-12-22T16:19:49Z</dcterms:created>
  <dcterms:modified xsi:type="dcterms:W3CDTF">2025-12-24T06:30:10Z</dcterms:modified>
</cp:coreProperties>
</file>